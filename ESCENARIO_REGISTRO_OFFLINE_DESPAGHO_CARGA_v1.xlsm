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527" codeName="{B6124F1A-AFFB-F854-7757-9A1D4C6FC43C}"/>
  <workbookPr codeName="ThisWorkbook" hidePivotFieldList="1"/>
  <mc:AlternateContent xmlns:mc="http://schemas.openxmlformats.org/markup-compatibility/2006">
    <mc:Choice Requires="x15">
      <x15ac:absPath xmlns:x15ac="http://schemas.microsoft.com/office/spreadsheetml/2010/11/ac" url="C:\Users\USER\Documents\proyectos_git\"/>
    </mc:Choice>
  </mc:AlternateContent>
  <xr:revisionPtr revIDLastSave="0" documentId="8_{DDB61AEE-B446-4AFA-BDE1-F26F46144441}" xr6:coauthVersionLast="47" xr6:coauthVersionMax="47" xr10:uidLastSave="{00000000-0000-0000-0000-000000000000}"/>
  <bookViews>
    <workbookView xWindow="-110" yWindow="-110" windowWidth="19420" windowHeight="10560" tabRatio="776" firstSheet="1" activeTab="1" xr2:uid="{00000000-000D-0000-FFFF-FFFF00000000}"/>
  </bookViews>
  <sheets>
    <sheet name="REGISTRO_MAESTRO" sheetId="3" state="hidden" r:id="rId1"/>
    <sheet name="REGISTRO_MAESTRO_m3" sheetId="18" r:id="rId2"/>
    <sheet name="DISTRIBUCION_CONTENEDORES" sheetId="19" r:id="rId3"/>
    <sheet name="DATOS_VUELO_RET" sheetId="15" state="hidden" r:id="rId4"/>
    <sheet name="Hoja1" sheetId="16" state="hidden" r:id="rId5"/>
    <sheet name="PROFORMA" sheetId="10" r:id="rId6"/>
    <sheet name="DATOS_EMPRESAS" sheetId="12" r:id="rId7"/>
    <sheet name="CLAUSURAS" sheetId="13" r:id="rId8"/>
    <sheet name="IMPORTE_RESERVA" sheetId="17" state="hidden" r:id="rId9"/>
    <sheet name="DESGLOSE_CARGA" sheetId="4" state="hidden" r:id="rId10"/>
  </sheets>
  <definedNames>
    <definedName name="_xlnm._FilterDatabase" localSheetId="3" hidden="1">DATOS_VUELO_RET!$A$1:$K$63</definedName>
    <definedName name="_xlnm._FilterDatabase" localSheetId="8" hidden="1">IMPORTE_RESERVA!$A$1:$Q$67</definedName>
    <definedName name="_xlnm._FilterDatabase" localSheetId="0" hidden="1">REGISTRO_MAESTRO!$A$5:$AD$71</definedName>
    <definedName name="_xlnm._FilterDatabase" localSheetId="1" hidden="1">REGISTRO_MAESTRO_m3!$A$14:$Z$419</definedName>
    <definedName name="_xlnm.Print_Area" localSheetId="5">PROFORMA!$A$2:$C$7</definedName>
  </definedNames>
  <calcPr calcId="181029"/>
  <pivotCaches>
    <pivotCache cacheId="56" r:id="rId1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N5" i="18" l="1"/>
  <c r="O26" i="18" l="1"/>
  <c r="O24" i="18"/>
  <c r="O16" i="18"/>
  <c r="O31" i="18"/>
  <c r="O25" i="18"/>
  <c r="O21" i="18"/>
  <c r="N28" i="18"/>
  <c r="O28" i="18"/>
  <c r="R28" i="18"/>
  <c r="Z28" i="18"/>
  <c r="N29" i="18"/>
  <c r="O29" i="18"/>
  <c r="R29" i="18"/>
  <c r="Z29" i="18"/>
  <c r="N30" i="18"/>
  <c r="O30" i="18"/>
  <c r="R30" i="18"/>
  <c r="Z30" i="18"/>
  <c r="N31" i="18"/>
  <c r="R31" i="18"/>
  <c r="Z31" i="18"/>
  <c r="N32" i="18"/>
  <c r="O32" i="18"/>
  <c r="R32" i="18"/>
  <c r="Z32" i="18"/>
  <c r="N33" i="18"/>
  <c r="O33" i="18"/>
  <c r="R33" i="18"/>
  <c r="Z33" i="18"/>
  <c r="N34" i="18"/>
  <c r="O34" i="18"/>
  <c r="R34" i="18"/>
  <c r="Z34" i="18"/>
  <c r="N35" i="18"/>
  <c r="O35" i="18"/>
  <c r="R35" i="18"/>
  <c r="Z35" i="18"/>
  <c r="N36" i="18"/>
  <c r="O36" i="18"/>
  <c r="R36" i="18"/>
  <c r="Z36" i="18"/>
  <c r="N37" i="18"/>
  <c r="O37" i="18"/>
  <c r="R37" i="18"/>
  <c r="Z37" i="18"/>
  <c r="N38" i="18"/>
  <c r="O38" i="18"/>
  <c r="R38" i="18"/>
  <c r="Z38" i="18"/>
  <c r="N39" i="18"/>
  <c r="O39" i="18"/>
  <c r="R39" i="18"/>
  <c r="Z39" i="18"/>
  <c r="N40" i="18"/>
  <c r="O40" i="18"/>
  <c r="R40" i="18"/>
  <c r="Z40" i="18"/>
  <c r="N41" i="18"/>
  <c r="O41" i="18"/>
  <c r="R41" i="18"/>
  <c r="Z41" i="18"/>
  <c r="N42" i="18"/>
  <c r="O42" i="18"/>
  <c r="R42" i="18"/>
  <c r="Z42" i="18"/>
  <c r="N43" i="18"/>
  <c r="O43" i="18"/>
  <c r="R43" i="18"/>
  <c r="Z43" i="18"/>
  <c r="N44" i="18"/>
  <c r="O44" i="18"/>
  <c r="R44" i="18"/>
  <c r="Z44" i="18"/>
  <c r="N45" i="18"/>
  <c r="O45" i="18"/>
  <c r="R45" i="18"/>
  <c r="Z45" i="18"/>
  <c r="N46" i="18"/>
  <c r="O46" i="18"/>
  <c r="R46" i="18"/>
  <c r="Z46" i="18"/>
  <c r="N47" i="18"/>
  <c r="O47" i="18"/>
  <c r="R47" i="18"/>
  <c r="Z47" i="18"/>
  <c r="N48" i="18"/>
  <c r="O48" i="18"/>
  <c r="R48" i="18"/>
  <c r="Z48" i="18"/>
  <c r="N49" i="18"/>
  <c r="O49" i="18"/>
  <c r="R49" i="18"/>
  <c r="Z49" i="18"/>
  <c r="N50" i="18"/>
  <c r="O50" i="18"/>
  <c r="R50" i="18"/>
  <c r="Z50" i="18"/>
  <c r="N51" i="18"/>
  <c r="O51" i="18"/>
  <c r="R51" i="18"/>
  <c r="Z51" i="18"/>
  <c r="N52" i="18"/>
  <c r="O52" i="18"/>
  <c r="R52" i="18"/>
  <c r="Z52" i="18"/>
  <c r="N53" i="18"/>
  <c r="O53" i="18"/>
  <c r="R53" i="18"/>
  <c r="Z53" i="18"/>
  <c r="N54" i="18"/>
  <c r="O54" i="18"/>
  <c r="R54" i="18"/>
  <c r="Z54" i="18"/>
  <c r="N55" i="18"/>
  <c r="O55" i="18"/>
  <c r="R55" i="18"/>
  <c r="Z55" i="18"/>
  <c r="N56" i="18"/>
  <c r="O56" i="18"/>
  <c r="R56" i="18"/>
  <c r="Z56" i="18"/>
  <c r="N57" i="18"/>
  <c r="O57" i="18"/>
  <c r="R57" i="18"/>
  <c r="Z57" i="18"/>
  <c r="N58" i="18"/>
  <c r="O58" i="18"/>
  <c r="R58" i="18"/>
  <c r="Z58" i="18"/>
  <c r="N59" i="18"/>
  <c r="O59" i="18"/>
  <c r="R59" i="18"/>
  <c r="Z59" i="18"/>
  <c r="N60" i="18"/>
  <c r="O60" i="18"/>
  <c r="R60" i="18"/>
  <c r="Z60" i="18"/>
  <c r="N61" i="18"/>
  <c r="O61" i="18"/>
  <c r="R61" i="18"/>
  <c r="Z61" i="18"/>
  <c r="N62" i="18"/>
  <c r="O62" i="18"/>
  <c r="R62" i="18"/>
  <c r="Z62" i="18"/>
  <c r="N63" i="18"/>
  <c r="O63" i="18"/>
  <c r="R63" i="18"/>
  <c r="Z63" i="18"/>
  <c r="N64" i="18"/>
  <c r="O64" i="18"/>
  <c r="R64" i="18"/>
  <c r="Z64" i="18"/>
  <c r="N65" i="18"/>
  <c r="O65" i="18"/>
  <c r="R65" i="18"/>
  <c r="Z65" i="18"/>
  <c r="N66" i="18"/>
  <c r="O66" i="18"/>
  <c r="R66" i="18"/>
  <c r="Z66" i="18"/>
  <c r="N67" i="18"/>
  <c r="O67" i="18"/>
  <c r="R67" i="18"/>
  <c r="Z67" i="18"/>
  <c r="N68" i="18"/>
  <c r="O68" i="18"/>
  <c r="R68" i="18"/>
  <c r="Z68" i="18"/>
  <c r="N69" i="18"/>
  <c r="O69" i="18"/>
  <c r="R69" i="18"/>
  <c r="Z69" i="18"/>
  <c r="N70" i="18"/>
  <c r="O70" i="18"/>
  <c r="R70" i="18"/>
  <c r="Z70" i="18"/>
  <c r="N71" i="18"/>
  <c r="O71" i="18"/>
  <c r="R71" i="18"/>
  <c r="Z71" i="18"/>
  <c r="N72" i="18"/>
  <c r="O72" i="18"/>
  <c r="R72" i="18"/>
  <c r="Z72" i="18"/>
  <c r="N73" i="18"/>
  <c r="O73" i="18"/>
  <c r="R73" i="18"/>
  <c r="Z73" i="18"/>
  <c r="N74" i="18"/>
  <c r="O74" i="18"/>
  <c r="R74" i="18"/>
  <c r="Z74" i="18"/>
  <c r="N75" i="18"/>
  <c r="O75" i="18"/>
  <c r="R75" i="18"/>
  <c r="Z75" i="18"/>
  <c r="N76" i="18"/>
  <c r="O76" i="18"/>
  <c r="R76" i="18"/>
  <c r="Z76" i="18"/>
  <c r="N77" i="18"/>
  <c r="O77" i="18"/>
  <c r="R77" i="18"/>
  <c r="Z77" i="18"/>
  <c r="N78" i="18"/>
  <c r="O78" i="18"/>
  <c r="R78" i="18"/>
  <c r="Z78" i="18"/>
  <c r="N79" i="18"/>
  <c r="O79" i="18"/>
  <c r="R79" i="18"/>
  <c r="Z79" i="18"/>
  <c r="N80" i="18"/>
  <c r="O80" i="18"/>
  <c r="R80" i="18"/>
  <c r="Z80" i="18"/>
  <c r="N81" i="18"/>
  <c r="O81" i="18"/>
  <c r="R81" i="18"/>
  <c r="Z81" i="18"/>
  <c r="N82" i="18"/>
  <c r="O82" i="18"/>
  <c r="R82" i="18"/>
  <c r="Z82" i="18"/>
  <c r="N83" i="18"/>
  <c r="O83" i="18"/>
  <c r="R83" i="18"/>
  <c r="Z83" i="18"/>
  <c r="N84" i="18"/>
  <c r="O84" i="18"/>
  <c r="R84" i="18"/>
  <c r="Z84" i="18"/>
  <c r="N85" i="18"/>
  <c r="O85" i="18"/>
  <c r="R85" i="18"/>
  <c r="Z85" i="18"/>
  <c r="N86" i="18"/>
  <c r="O86" i="18"/>
  <c r="R86" i="18"/>
  <c r="Z86" i="18"/>
  <c r="N87" i="18"/>
  <c r="O87" i="18"/>
  <c r="R87" i="18"/>
  <c r="Z87" i="18"/>
  <c r="N88" i="18"/>
  <c r="O88" i="18"/>
  <c r="R88" i="18"/>
  <c r="Z88" i="18"/>
  <c r="N89" i="18"/>
  <c r="O89" i="18"/>
  <c r="R89" i="18"/>
  <c r="Z89" i="18"/>
  <c r="N90" i="18"/>
  <c r="O90" i="18"/>
  <c r="R90" i="18"/>
  <c r="Z90" i="18"/>
  <c r="N91" i="18"/>
  <c r="O91" i="18"/>
  <c r="R91" i="18"/>
  <c r="Z91" i="18"/>
  <c r="N92" i="18"/>
  <c r="O92" i="18"/>
  <c r="R92" i="18"/>
  <c r="Z92" i="18"/>
  <c r="N93" i="18"/>
  <c r="O93" i="18"/>
  <c r="R93" i="18"/>
  <c r="Z93" i="18"/>
  <c r="N94" i="18"/>
  <c r="O94" i="18"/>
  <c r="R94" i="18"/>
  <c r="Z94" i="18"/>
  <c r="N95" i="18"/>
  <c r="O95" i="18"/>
  <c r="R95" i="18"/>
  <c r="Z95" i="18"/>
  <c r="N96" i="18"/>
  <c r="O96" i="18"/>
  <c r="R96" i="18"/>
  <c r="Z96" i="18"/>
  <c r="N97" i="18"/>
  <c r="O97" i="18"/>
  <c r="R97" i="18"/>
  <c r="Z97" i="18"/>
  <c r="N98" i="18"/>
  <c r="O98" i="18"/>
  <c r="R98" i="18"/>
  <c r="Z98" i="18"/>
  <c r="N99" i="18"/>
  <c r="O99" i="18"/>
  <c r="R99" i="18"/>
  <c r="Z99" i="18"/>
  <c r="N100" i="18"/>
  <c r="O100" i="18"/>
  <c r="R100" i="18"/>
  <c r="Z100" i="18"/>
  <c r="N101" i="18"/>
  <c r="O101" i="18"/>
  <c r="R101" i="18"/>
  <c r="Z101" i="18"/>
  <c r="N102" i="18"/>
  <c r="O102" i="18"/>
  <c r="R102" i="18"/>
  <c r="Z102" i="18"/>
  <c r="N103" i="18"/>
  <c r="O103" i="18"/>
  <c r="R103" i="18"/>
  <c r="Z103" i="18"/>
  <c r="N104" i="18"/>
  <c r="O104" i="18"/>
  <c r="R104" i="18"/>
  <c r="Z104" i="18"/>
  <c r="N105" i="18"/>
  <c r="O105" i="18"/>
  <c r="R105" i="18"/>
  <c r="Z105" i="18"/>
  <c r="N106" i="18"/>
  <c r="O106" i="18"/>
  <c r="R106" i="18"/>
  <c r="Z106" i="18"/>
  <c r="N107" i="18"/>
  <c r="O107" i="18"/>
  <c r="R107" i="18"/>
  <c r="Z107" i="18"/>
  <c r="N108" i="18"/>
  <c r="O108" i="18"/>
  <c r="R108" i="18"/>
  <c r="Z108" i="18"/>
  <c r="N109" i="18"/>
  <c r="O109" i="18"/>
  <c r="R109" i="18"/>
  <c r="Z109" i="18"/>
  <c r="N110" i="18"/>
  <c r="O110" i="18"/>
  <c r="R110" i="18"/>
  <c r="Z110" i="18"/>
  <c r="N111" i="18"/>
  <c r="O111" i="18"/>
  <c r="R111" i="18"/>
  <c r="Z111" i="18"/>
  <c r="N112" i="18"/>
  <c r="O112" i="18"/>
  <c r="R112" i="18"/>
  <c r="Z112" i="18"/>
  <c r="N113" i="18"/>
  <c r="O113" i="18"/>
  <c r="R113" i="18"/>
  <c r="Z113" i="18"/>
  <c r="N114" i="18"/>
  <c r="O114" i="18"/>
  <c r="R114" i="18"/>
  <c r="Z114" i="18"/>
  <c r="N115" i="18"/>
  <c r="O115" i="18"/>
  <c r="R115" i="18"/>
  <c r="Z115" i="18"/>
  <c r="N116" i="18"/>
  <c r="O116" i="18"/>
  <c r="R116" i="18"/>
  <c r="Z116" i="18"/>
  <c r="N117" i="18"/>
  <c r="O117" i="18"/>
  <c r="R117" i="18"/>
  <c r="Z117" i="18"/>
  <c r="N118" i="18"/>
  <c r="O118" i="18"/>
  <c r="R118" i="18"/>
  <c r="Z118" i="18"/>
  <c r="N119" i="18"/>
  <c r="O119" i="18"/>
  <c r="R119" i="18"/>
  <c r="Z119" i="18"/>
  <c r="N120" i="18"/>
  <c r="O120" i="18"/>
  <c r="R120" i="18"/>
  <c r="Z120" i="18"/>
  <c r="N121" i="18"/>
  <c r="O121" i="18"/>
  <c r="R121" i="18"/>
  <c r="Z121" i="18"/>
  <c r="N122" i="18"/>
  <c r="O122" i="18"/>
  <c r="R122" i="18"/>
  <c r="Z122" i="18"/>
  <c r="N123" i="18"/>
  <c r="O123" i="18"/>
  <c r="R123" i="18"/>
  <c r="Z123" i="18"/>
  <c r="N124" i="18"/>
  <c r="O124" i="18"/>
  <c r="R124" i="18"/>
  <c r="Z124" i="18"/>
  <c r="N125" i="18"/>
  <c r="O125" i="18"/>
  <c r="R125" i="18"/>
  <c r="Z125" i="18"/>
  <c r="N126" i="18"/>
  <c r="O126" i="18"/>
  <c r="R126" i="18"/>
  <c r="Z126" i="18"/>
  <c r="N127" i="18"/>
  <c r="O127" i="18"/>
  <c r="R127" i="18"/>
  <c r="Z127" i="18"/>
  <c r="N128" i="18"/>
  <c r="O128" i="18"/>
  <c r="R128" i="18"/>
  <c r="Z128" i="18"/>
  <c r="N129" i="18"/>
  <c r="O129" i="18"/>
  <c r="R129" i="18"/>
  <c r="Z129" i="18"/>
  <c r="N130" i="18"/>
  <c r="O130" i="18"/>
  <c r="R130" i="18"/>
  <c r="Z130" i="18"/>
  <c r="N131" i="18"/>
  <c r="O131" i="18"/>
  <c r="R131" i="18"/>
  <c r="Z131" i="18"/>
  <c r="N132" i="18"/>
  <c r="O132" i="18"/>
  <c r="R132" i="18"/>
  <c r="Z132" i="18"/>
  <c r="N133" i="18"/>
  <c r="O133" i="18"/>
  <c r="R133" i="18"/>
  <c r="Z133" i="18"/>
  <c r="N134" i="18"/>
  <c r="O134" i="18"/>
  <c r="R134" i="18"/>
  <c r="Z134" i="18"/>
  <c r="N135" i="18"/>
  <c r="O135" i="18"/>
  <c r="R135" i="18"/>
  <c r="Z135" i="18"/>
  <c r="N136" i="18"/>
  <c r="O136" i="18"/>
  <c r="R136" i="18"/>
  <c r="Z136" i="18"/>
  <c r="N137" i="18"/>
  <c r="O137" i="18"/>
  <c r="R137" i="18"/>
  <c r="Z137" i="18"/>
  <c r="N138" i="18"/>
  <c r="O138" i="18"/>
  <c r="R138" i="18"/>
  <c r="Z138" i="18"/>
  <c r="N139" i="18"/>
  <c r="O139" i="18"/>
  <c r="R139" i="18"/>
  <c r="Z139" i="18"/>
  <c r="N140" i="18"/>
  <c r="O140" i="18"/>
  <c r="R140" i="18"/>
  <c r="Z140" i="18"/>
  <c r="N141" i="18"/>
  <c r="O141" i="18"/>
  <c r="R141" i="18"/>
  <c r="Z141" i="18"/>
  <c r="N142" i="18"/>
  <c r="O142" i="18"/>
  <c r="R142" i="18"/>
  <c r="Z142" i="18"/>
  <c r="N143" i="18"/>
  <c r="O143" i="18"/>
  <c r="R143" i="18"/>
  <c r="Z143" i="18"/>
  <c r="N144" i="18"/>
  <c r="O144" i="18"/>
  <c r="R144" i="18"/>
  <c r="Z144" i="18"/>
  <c r="N145" i="18"/>
  <c r="O145" i="18"/>
  <c r="R145" i="18"/>
  <c r="Z145" i="18"/>
  <c r="N146" i="18"/>
  <c r="O146" i="18"/>
  <c r="R146" i="18"/>
  <c r="Z146" i="18"/>
  <c r="N147" i="18"/>
  <c r="O147" i="18"/>
  <c r="R147" i="18"/>
  <c r="Z147" i="18"/>
  <c r="N148" i="18"/>
  <c r="O148" i="18"/>
  <c r="R148" i="18"/>
  <c r="Z148" i="18"/>
  <c r="N149" i="18"/>
  <c r="O149" i="18"/>
  <c r="R149" i="18"/>
  <c r="Z149" i="18"/>
  <c r="N150" i="18"/>
  <c r="O150" i="18"/>
  <c r="R150" i="18"/>
  <c r="Z150" i="18"/>
  <c r="N151" i="18"/>
  <c r="O151" i="18"/>
  <c r="R151" i="18"/>
  <c r="Z151" i="18"/>
  <c r="N152" i="18"/>
  <c r="O152" i="18"/>
  <c r="R152" i="18"/>
  <c r="Z152" i="18"/>
  <c r="N153" i="18"/>
  <c r="O153" i="18"/>
  <c r="R153" i="18"/>
  <c r="Z153" i="18"/>
  <c r="N154" i="18"/>
  <c r="O154" i="18"/>
  <c r="R154" i="18"/>
  <c r="Z154" i="18"/>
  <c r="N155" i="18"/>
  <c r="O155" i="18"/>
  <c r="R155" i="18"/>
  <c r="Z155" i="18"/>
  <c r="N156" i="18"/>
  <c r="O156" i="18"/>
  <c r="R156" i="18"/>
  <c r="Z156" i="18"/>
  <c r="N157" i="18"/>
  <c r="O157" i="18"/>
  <c r="R157" i="18"/>
  <c r="Z157" i="18"/>
  <c r="N158" i="18"/>
  <c r="O158" i="18"/>
  <c r="R158" i="18"/>
  <c r="Z158" i="18"/>
  <c r="N159" i="18"/>
  <c r="O159" i="18"/>
  <c r="R159" i="18"/>
  <c r="Z159" i="18"/>
  <c r="N160" i="18"/>
  <c r="O160" i="18"/>
  <c r="R160" i="18"/>
  <c r="Z160" i="18"/>
  <c r="N161" i="18"/>
  <c r="O161" i="18"/>
  <c r="R161" i="18"/>
  <c r="Z161" i="18"/>
  <c r="N162" i="18"/>
  <c r="O162" i="18"/>
  <c r="R162" i="18"/>
  <c r="Z162" i="18"/>
  <c r="N163" i="18"/>
  <c r="O163" i="18"/>
  <c r="R163" i="18"/>
  <c r="Z163" i="18"/>
  <c r="N164" i="18"/>
  <c r="O164" i="18"/>
  <c r="R164" i="18"/>
  <c r="Z164" i="18"/>
  <c r="N165" i="18"/>
  <c r="O165" i="18"/>
  <c r="R165" i="18"/>
  <c r="Z165" i="18"/>
  <c r="N166" i="18"/>
  <c r="O166" i="18"/>
  <c r="R166" i="18"/>
  <c r="Z166" i="18"/>
  <c r="N167" i="18"/>
  <c r="O167" i="18"/>
  <c r="R167" i="18"/>
  <c r="Z167" i="18"/>
  <c r="N168" i="18"/>
  <c r="O168" i="18"/>
  <c r="R168" i="18"/>
  <c r="Z168" i="18"/>
  <c r="N169" i="18"/>
  <c r="O169" i="18"/>
  <c r="R169" i="18"/>
  <c r="Z169" i="18"/>
  <c r="N170" i="18"/>
  <c r="O170" i="18"/>
  <c r="R170" i="18"/>
  <c r="Z170" i="18"/>
  <c r="N171" i="18"/>
  <c r="O171" i="18"/>
  <c r="R171" i="18"/>
  <c r="Z171" i="18"/>
  <c r="N172" i="18"/>
  <c r="O172" i="18"/>
  <c r="R172" i="18"/>
  <c r="Z172" i="18"/>
  <c r="N173" i="18"/>
  <c r="O173" i="18"/>
  <c r="R173" i="18"/>
  <c r="Z173" i="18"/>
  <c r="N174" i="18"/>
  <c r="O174" i="18"/>
  <c r="R174" i="18"/>
  <c r="Z174" i="18"/>
  <c r="N175" i="18"/>
  <c r="O175" i="18"/>
  <c r="R175" i="18"/>
  <c r="Z175" i="18"/>
  <c r="N176" i="18"/>
  <c r="O176" i="18"/>
  <c r="R176" i="18"/>
  <c r="Z176" i="18"/>
  <c r="N177" i="18"/>
  <c r="O177" i="18"/>
  <c r="R177" i="18"/>
  <c r="Z177" i="18"/>
  <c r="N178" i="18"/>
  <c r="O178" i="18"/>
  <c r="R178" i="18"/>
  <c r="Z178" i="18"/>
  <c r="N179" i="18"/>
  <c r="O179" i="18"/>
  <c r="R179" i="18"/>
  <c r="Z179" i="18"/>
  <c r="N180" i="18"/>
  <c r="O180" i="18"/>
  <c r="R180" i="18"/>
  <c r="Z180" i="18"/>
  <c r="N181" i="18"/>
  <c r="O181" i="18"/>
  <c r="R181" i="18"/>
  <c r="Z181" i="18"/>
  <c r="N182" i="18"/>
  <c r="O182" i="18"/>
  <c r="R182" i="18"/>
  <c r="Z182" i="18"/>
  <c r="N183" i="18"/>
  <c r="O183" i="18"/>
  <c r="R183" i="18"/>
  <c r="Z183" i="18"/>
  <c r="N184" i="18"/>
  <c r="O184" i="18"/>
  <c r="R184" i="18"/>
  <c r="Z184" i="18"/>
  <c r="N185" i="18"/>
  <c r="O185" i="18"/>
  <c r="R185" i="18"/>
  <c r="Z185" i="18"/>
  <c r="N186" i="18"/>
  <c r="O186" i="18"/>
  <c r="R186" i="18"/>
  <c r="Z186" i="18"/>
  <c r="N187" i="18"/>
  <c r="O187" i="18"/>
  <c r="R187" i="18"/>
  <c r="Z187" i="18"/>
  <c r="N188" i="18"/>
  <c r="O188" i="18"/>
  <c r="R188" i="18"/>
  <c r="Z188" i="18"/>
  <c r="N189" i="18"/>
  <c r="O189" i="18"/>
  <c r="R189" i="18"/>
  <c r="Z189" i="18"/>
  <c r="N190" i="18"/>
  <c r="O190" i="18"/>
  <c r="R190" i="18"/>
  <c r="Z190" i="18"/>
  <c r="N191" i="18"/>
  <c r="O191" i="18"/>
  <c r="R191" i="18"/>
  <c r="Z191" i="18"/>
  <c r="N192" i="18"/>
  <c r="O192" i="18"/>
  <c r="R192" i="18"/>
  <c r="Z192" i="18"/>
  <c r="N193" i="18"/>
  <c r="O193" i="18"/>
  <c r="R193" i="18"/>
  <c r="Z193" i="18"/>
  <c r="N194" i="18"/>
  <c r="O194" i="18"/>
  <c r="R194" i="18"/>
  <c r="Z194" i="18"/>
  <c r="N195" i="18"/>
  <c r="O195" i="18"/>
  <c r="R195" i="18"/>
  <c r="Z195" i="18"/>
  <c r="N196" i="18"/>
  <c r="O196" i="18"/>
  <c r="R196" i="18"/>
  <c r="Z196" i="18"/>
  <c r="N197" i="18"/>
  <c r="O197" i="18"/>
  <c r="R197" i="18"/>
  <c r="Z197" i="18"/>
  <c r="N198" i="18"/>
  <c r="O198" i="18"/>
  <c r="R198" i="18"/>
  <c r="Z198" i="18"/>
  <c r="N199" i="18"/>
  <c r="O199" i="18"/>
  <c r="R199" i="18"/>
  <c r="Z199" i="18"/>
  <c r="N200" i="18"/>
  <c r="O200" i="18"/>
  <c r="R200" i="18"/>
  <c r="Z200" i="18"/>
  <c r="N201" i="18"/>
  <c r="O201" i="18"/>
  <c r="R201" i="18"/>
  <c r="Z201" i="18"/>
  <c r="N202" i="18"/>
  <c r="O202" i="18"/>
  <c r="R202" i="18"/>
  <c r="Z202" i="18"/>
  <c r="N203" i="18"/>
  <c r="O203" i="18"/>
  <c r="R203" i="18"/>
  <c r="Z203" i="18"/>
  <c r="N204" i="18"/>
  <c r="O204" i="18"/>
  <c r="R204" i="18"/>
  <c r="Z204" i="18"/>
  <c r="N205" i="18"/>
  <c r="O205" i="18"/>
  <c r="R205" i="18"/>
  <c r="Z205" i="18"/>
  <c r="N206" i="18"/>
  <c r="O206" i="18"/>
  <c r="R206" i="18"/>
  <c r="Z206" i="18"/>
  <c r="N207" i="18"/>
  <c r="O207" i="18"/>
  <c r="R207" i="18"/>
  <c r="Z207" i="18"/>
  <c r="N208" i="18"/>
  <c r="O208" i="18"/>
  <c r="R208" i="18"/>
  <c r="Z208" i="18"/>
  <c r="N209" i="18"/>
  <c r="O209" i="18"/>
  <c r="R209" i="18"/>
  <c r="Z209" i="18"/>
  <c r="N210" i="18"/>
  <c r="O210" i="18"/>
  <c r="R210" i="18"/>
  <c r="Z210" i="18"/>
  <c r="N211" i="18"/>
  <c r="O211" i="18"/>
  <c r="R211" i="18"/>
  <c r="Z211" i="18"/>
  <c r="N212" i="18"/>
  <c r="O212" i="18"/>
  <c r="R212" i="18"/>
  <c r="Z212" i="18"/>
  <c r="N213" i="18"/>
  <c r="O213" i="18"/>
  <c r="R213" i="18"/>
  <c r="Z213" i="18"/>
  <c r="N214" i="18"/>
  <c r="O214" i="18"/>
  <c r="R214" i="18"/>
  <c r="Z214" i="18"/>
  <c r="N215" i="18"/>
  <c r="O215" i="18"/>
  <c r="R215" i="18"/>
  <c r="Z215" i="18"/>
  <c r="N216" i="18"/>
  <c r="O216" i="18"/>
  <c r="R216" i="18"/>
  <c r="Z216" i="18"/>
  <c r="N217" i="18"/>
  <c r="O217" i="18"/>
  <c r="R217" i="18"/>
  <c r="Z217" i="18"/>
  <c r="N218" i="18"/>
  <c r="O218" i="18"/>
  <c r="R218" i="18"/>
  <c r="Z218" i="18"/>
  <c r="N219" i="18"/>
  <c r="O219" i="18"/>
  <c r="R219" i="18"/>
  <c r="Z219" i="18"/>
  <c r="N220" i="18"/>
  <c r="O220" i="18"/>
  <c r="R220" i="18"/>
  <c r="Z220" i="18"/>
  <c r="N221" i="18"/>
  <c r="O221" i="18"/>
  <c r="R221" i="18"/>
  <c r="Z221" i="18"/>
  <c r="N222" i="18"/>
  <c r="O222" i="18"/>
  <c r="R222" i="18"/>
  <c r="Z222" i="18"/>
  <c r="N223" i="18"/>
  <c r="O223" i="18"/>
  <c r="R223" i="18"/>
  <c r="Z223" i="18"/>
  <c r="N224" i="18"/>
  <c r="O224" i="18"/>
  <c r="R224" i="18"/>
  <c r="Z224" i="18"/>
  <c r="N225" i="18"/>
  <c r="O225" i="18"/>
  <c r="R225" i="18"/>
  <c r="Z225" i="18"/>
  <c r="N226" i="18"/>
  <c r="O226" i="18"/>
  <c r="R226" i="18"/>
  <c r="Z226" i="18"/>
  <c r="N227" i="18"/>
  <c r="O227" i="18"/>
  <c r="R227" i="18"/>
  <c r="Z227" i="18"/>
  <c r="N228" i="18"/>
  <c r="O228" i="18"/>
  <c r="R228" i="18"/>
  <c r="Z228" i="18"/>
  <c r="N229" i="18"/>
  <c r="O229" i="18"/>
  <c r="R229" i="18"/>
  <c r="Z229" i="18"/>
  <c r="N230" i="18"/>
  <c r="O230" i="18"/>
  <c r="R230" i="18"/>
  <c r="Z230" i="18"/>
  <c r="N231" i="18"/>
  <c r="O231" i="18"/>
  <c r="R231" i="18"/>
  <c r="Z231" i="18"/>
  <c r="N232" i="18"/>
  <c r="O232" i="18"/>
  <c r="R232" i="18"/>
  <c r="Z232" i="18"/>
  <c r="N233" i="18"/>
  <c r="O233" i="18"/>
  <c r="R233" i="18"/>
  <c r="Z233" i="18"/>
  <c r="N234" i="18"/>
  <c r="O234" i="18"/>
  <c r="R234" i="18"/>
  <c r="Z234" i="18"/>
  <c r="N235" i="18"/>
  <c r="O235" i="18"/>
  <c r="R235" i="18"/>
  <c r="Z235" i="18"/>
  <c r="N236" i="18"/>
  <c r="O236" i="18"/>
  <c r="R236" i="18"/>
  <c r="Z236" i="18"/>
  <c r="N237" i="18"/>
  <c r="O237" i="18"/>
  <c r="R237" i="18"/>
  <c r="Z237" i="18"/>
  <c r="N238" i="18"/>
  <c r="O238" i="18"/>
  <c r="R238" i="18"/>
  <c r="Z238" i="18"/>
  <c r="N239" i="18"/>
  <c r="O239" i="18"/>
  <c r="R239" i="18"/>
  <c r="Z239" i="18"/>
  <c r="N240" i="18"/>
  <c r="O240" i="18"/>
  <c r="R240" i="18"/>
  <c r="Z240" i="18"/>
  <c r="N241" i="18"/>
  <c r="O241" i="18"/>
  <c r="R241" i="18"/>
  <c r="Z241" i="18"/>
  <c r="N242" i="18"/>
  <c r="O242" i="18"/>
  <c r="R242" i="18"/>
  <c r="Z242" i="18"/>
  <c r="N243" i="18"/>
  <c r="O243" i="18"/>
  <c r="R243" i="18"/>
  <c r="Z243" i="18"/>
  <c r="N244" i="18"/>
  <c r="O244" i="18"/>
  <c r="R244" i="18"/>
  <c r="Z244" i="18"/>
  <c r="N245" i="18"/>
  <c r="O245" i="18"/>
  <c r="R245" i="18"/>
  <c r="Z245" i="18"/>
  <c r="N246" i="18"/>
  <c r="O246" i="18"/>
  <c r="R246" i="18"/>
  <c r="Z246" i="18"/>
  <c r="N247" i="18"/>
  <c r="O247" i="18"/>
  <c r="R247" i="18"/>
  <c r="Z247" i="18"/>
  <c r="N248" i="18"/>
  <c r="O248" i="18"/>
  <c r="R248" i="18"/>
  <c r="Z248" i="18"/>
  <c r="N249" i="18"/>
  <c r="O249" i="18"/>
  <c r="R249" i="18"/>
  <c r="Z249" i="18"/>
  <c r="N250" i="18"/>
  <c r="O250" i="18"/>
  <c r="R250" i="18"/>
  <c r="Z250" i="18"/>
  <c r="N251" i="18"/>
  <c r="O251" i="18"/>
  <c r="R251" i="18"/>
  <c r="Z251" i="18"/>
  <c r="N252" i="18"/>
  <c r="O252" i="18"/>
  <c r="R252" i="18"/>
  <c r="Z252" i="18"/>
  <c r="N253" i="18"/>
  <c r="O253" i="18"/>
  <c r="R253" i="18"/>
  <c r="Z253" i="18"/>
  <c r="N254" i="18"/>
  <c r="O254" i="18"/>
  <c r="R254" i="18"/>
  <c r="Z254" i="18"/>
  <c r="N255" i="18"/>
  <c r="O255" i="18"/>
  <c r="R255" i="18"/>
  <c r="Z255" i="18"/>
  <c r="N256" i="18"/>
  <c r="O256" i="18"/>
  <c r="R256" i="18"/>
  <c r="Z256" i="18"/>
  <c r="N257" i="18"/>
  <c r="O257" i="18"/>
  <c r="R257" i="18"/>
  <c r="Z257" i="18"/>
  <c r="N258" i="18"/>
  <c r="O258" i="18"/>
  <c r="R258" i="18"/>
  <c r="Z258" i="18"/>
  <c r="N259" i="18"/>
  <c r="O259" i="18"/>
  <c r="R259" i="18"/>
  <c r="Z259" i="18"/>
  <c r="N260" i="18"/>
  <c r="O260" i="18"/>
  <c r="R260" i="18"/>
  <c r="Z260" i="18"/>
  <c r="N261" i="18"/>
  <c r="O261" i="18"/>
  <c r="R261" i="18"/>
  <c r="Z261" i="18"/>
  <c r="N262" i="18"/>
  <c r="O262" i="18"/>
  <c r="R262" i="18"/>
  <c r="Z262" i="18"/>
  <c r="N263" i="18"/>
  <c r="O263" i="18"/>
  <c r="R263" i="18"/>
  <c r="Z263" i="18"/>
  <c r="N264" i="18"/>
  <c r="O264" i="18"/>
  <c r="R264" i="18"/>
  <c r="Z264" i="18"/>
  <c r="N265" i="18"/>
  <c r="O265" i="18"/>
  <c r="R265" i="18"/>
  <c r="Z265" i="18"/>
  <c r="N266" i="18"/>
  <c r="O266" i="18"/>
  <c r="R266" i="18"/>
  <c r="Z266" i="18"/>
  <c r="N267" i="18"/>
  <c r="O267" i="18"/>
  <c r="R267" i="18"/>
  <c r="Z267" i="18"/>
  <c r="N268" i="18"/>
  <c r="O268" i="18"/>
  <c r="R268" i="18"/>
  <c r="Z268" i="18"/>
  <c r="N269" i="18"/>
  <c r="O269" i="18"/>
  <c r="R269" i="18"/>
  <c r="Z269" i="18"/>
  <c r="N270" i="18"/>
  <c r="O270" i="18"/>
  <c r="R270" i="18"/>
  <c r="Z270" i="18"/>
  <c r="N271" i="18"/>
  <c r="O271" i="18"/>
  <c r="R271" i="18"/>
  <c r="Z271" i="18"/>
  <c r="N272" i="18"/>
  <c r="O272" i="18"/>
  <c r="R272" i="18"/>
  <c r="Z272" i="18"/>
  <c r="N273" i="18"/>
  <c r="O273" i="18"/>
  <c r="R273" i="18"/>
  <c r="Z273" i="18"/>
  <c r="N274" i="18"/>
  <c r="O274" i="18"/>
  <c r="R274" i="18"/>
  <c r="Z274" i="18"/>
  <c r="N275" i="18"/>
  <c r="O275" i="18"/>
  <c r="R275" i="18"/>
  <c r="Z275" i="18"/>
  <c r="N276" i="18"/>
  <c r="O276" i="18"/>
  <c r="R276" i="18"/>
  <c r="Z276" i="18"/>
  <c r="N277" i="18"/>
  <c r="O277" i="18"/>
  <c r="R277" i="18"/>
  <c r="Z277" i="18"/>
  <c r="N278" i="18"/>
  <c r="O278" i="18"/>
  <c r="R278" i="18"/>
  <c r="Z278" i="18"/>
  <c r="N279" i="18"/>
  <c r="O279" i="18"/>
  <c r="R279" i="18"/>
  <c r="Z279" i="18"/>
  <c r="N280" i="18"/>
  <c r="O280" i="18"/>
  <c r="R280" i="18"/>
  <c r="Z280" i="18"/>
  <c r="N281" i="18"/>
  <c r="O281" i="18"/>
  <c r="R281" i="18"/>
  <c r="Z281" i="18"/>
  <c r="N282" i="18"/>
  <c r="O282" i="18"/>
  <c r="R282" i="18"/>
  <c r="Z282" i="18"/>
  <c r="N283" i="18"/>
  <c r="O283" i="18"/>
  <c r="R283" i="18"/>
  <c r="Z283" i="18"/>
  <c r="N284" i="18"/>
  <c r="O284" i="18"/>
  <c r="R284" i="18"/>
  <c r="Z284" i="18"/>
  <c r="N285" i="18"/>
  <c r="O285" i="18"/>
  <c r="R285" i="18"/>
  <c r="Z285" i="18"/>
  <c r="N286" i="18"/>
  <c r="O286" i="18"/>
  <c r="R286" i="18"/>
  <c r="Z286" i="18"/>
  <c r="N287" i="18"/>
  <c r="O287" i="18"/>
  <c r="R287" i="18"/>
  <c r="Z287" i="18"/>
  <c r="N288" i="18"/>
  <c r="O288" i="18"/>
  <c r="R288" i="18"/>
  <c r="Z288" i="18"/>
  <c r="N289" i="18"/>
  <c r="O289" i="18"/>
  <c r="R289" i="18"/>
  <c r="Z289" i="18"/>
  <c r="N290" i="18"/>
  <c r="O290" i="18"/>
  <c r="R290" i="18"/>
  <c r="Z290" i="18"/>
  <c r="N291" i="18"/>
  <c r="O291" i="18"/>
  <c r="R291" i="18"/>
  <c r="Z291" i="18"/>
  <c r="N292" i="18"/>
  <c r="O292" i="18"/>
  <c r="R292" i="18"/>
  <c r="Z292" i="18"/>
  <c r="N293" i="18"/>
  <c r="O293" i="18"/>
  <c r="R293" i="18"/>
  <c r="Z293" i="18"/>
  <c r="N294" i="18"/>
  <c r="O294" i="18"/>
  <c r="R294" i="18"/>
  <c r="Z294" i="18"/>
  <c r="N295" i="18"/>
  <c r="O295" i="18"/>
  <c r="R295" i="18"/>
  <c r="Z295" i="18"/>
  <c r="N296" i="18"/>
  <c r="O296" i="18"/>
  <c r="R296" i="18"/>
  <c r="Z296" i="18"/>
  <c r="N297" i="18"/>
  <c r="O297" i="18"/>
  <c r="R297" i="18"/>
  <c r="Z297" i="18"/>
  <c r="N298" i="18"/>
  <c r="O298" i="18"/>
  <c r="R298" i="18"/>
  <c r="Z298" i="18"/>
  <c r="N299" i="18"/>
  <c r="O299" i="18"/>
  <c r="R299" i="18"/>
  <c r="Z299" i="18"/>
  <c r="N300" i="18"/>
  <c r="O300" i="18"/>
  <c r="R300" i="18"/>
  <c r="Z300" i="18"/>
  <c r="N301" i="18"/>
  <c r="O301" i="18"/>
  <c r="R301" i="18"/>
  <c r="Z301" i="18"/>
  <c r="N302" i="18"/>
  <c r="O302" i="18"/>
  <c r="R302" i="18"/>
  <c r="Z302" i="18"/>
  <c r="N303" i="18"/>
  <c r="O303" i="18"/>
  <c r="R303" i="18"/>
  <c r="Z303" i="18"/>
  <c r="N304" i="18"/>
  <c r="O304" i="18"/>
  <c r="R304" i="18"/>
  <c r="Z304" i="18"/>
  <c r="N305" i="18"/>
  <c r="O305" i="18"/>
  <c r="R305" i="18"/>
  <c r="Z305" i="18"/>
  <c r="N306" i="18"/>
  <c r="O306" i="18"/>
  <c r="R306" i="18"/>
  <c r="Z306" i="18"/>
  <c r="N307" i="18"/>
  <c r="O307" i="18"/>
  <c r="R307" i="18"/>
  <c r="Z307" i="18"/>
  <c r="N308" i="18"/>
  <c r="O308" i="18"/>
  <c r="R308" i="18"/>
  <c r="Z308" i="18"/>
  <c r="N309" i="18"/>
  <c r="O309" i="18"/>
  <c r="R309" i="18"/>
  <c r="Z309" i="18"/>
  <c r="N310" i="18"/>
  <c r="O310" i="18"/>
  <c r="R310" i="18"/>
  <c r="Z310" i="18"/>
  <c r="N311" i="18"/>
  <c r="O311" i="18"/>
  <c r="R311" i="18"/>
  <c r="Z311" i="18"/>
  <c r="N312" i="18"/>
  <c r="O312" i="18"/>
  <c r="R312" i="18"/>
  <c r="Z312" i="18"/>
  <c r="N313" i="18"/>
  <c r="O313" i="18"/>
  <c r="R313" i="18"/>
  <c r="Z313" i="18"/>
  <c r="N314" i="18"/>
  <c r="O314" i="18"/>
  <c r="R314" i="18"/>
  <c r="Z314" i="18"/>
  <c r="N315" i="18"/>
  <c r="O315" i="18"/>
  <c r="R315" i="18"/>
  <c r="Z315" i="18"/>
  <c r="N316" i="18"/>
  <c r="O316" i="18"/>
  <c r="R316" i="18"/>
  <c r="Z316" i="18"/>
  <c r="N317" i="18"/>
  <c r="O317" i="18"/>
  <c r="R317" i="18"/>
  <c r="Z317" i="18"/>
  <c r="N318" i="18"/>
  <c r="O318" i="18"/>
  <c r="R318" i="18"/>
  <c r="Z318" i="18"/>
  <c r="N319" i="18"/>
  <c r="O319" i="18"/>
  <c r="R319" i="18"/>
  <c r="Z319" i="18"/>
  <c r="N320" i="18"/>
  <c r="O320" i="18"/>
  <c r="R320" i="18"/>
  <c r="Z320" i="18"/>
  <c r="N321" i="18"/>
  <c r="O321" i="18"/>
  <c r="R321" i="18"/>
  <c r="Z321" i="18"/>
  <c r="N322" i="18"/>
  <c r="O322" i="18"/>
  <c r="R322" i="18"/>
  <c r="Z322" i="18"/>
  <c r="N323" i="18"/>
  <c r="O323" i="18"/>
  <c r="R323" i="18"/>
  <c r="Z323" i="18"/>
  <c r="N324" i="18"/>
  <c r="O324" i="18"/>
  <c r="R324" i="18"/>
  <c r="Z324" i="18"/>
  <c r="N325" i="18"/>
  <c r="O325" i="18"/>
  <c r="R325" i="18"/>
  <c r="Z325" i="18"/>
  <c r="N326" i="18"/>
  <c r="O326" i="18"/>
  <c r="R326" i="18"/>
  <c r="Z326" i="18"/>
  <c r="N327" i="18"/>
  <c r="O327" i="18"/>
  <c r="R327" i="18"/>
  <c r="Z327" i="18"/>
  <c r="N328" i="18"/>
  <c r="O328" i="18"/>
  <c r="R328" i="18"/>
  <c r="Z328" i="18"/>
  <c r="N329" i="18"/>
  <c r="O329" i="18"/>
  <c r="R329" i="18"/>
  <c r="Z329" i="18"/>
  <c r="N330" i="18"/>
  <c r="O330" i="18"/>
  <c r="R330" i="18"/>
  <c r="Z330" i="18"/>
  <c r="N331" i="18"/>
  <c r="O331" i="18"/>
  <c r="R331" i="18"/>
  <c r="Z331" i="18"/>
  <c r="N332" i="18"/>
  <c r="O332" i="18"/>
  <c r="R332" i="18"/>
  <c r="Z332" i="18"/>
  <c r="N333" i="18"/>
  <c r="O333" i="18"/>
  <c r="R333" i="18"/>
  <c r="Z333" i="18"/>
  <c r="N334" i="18"/>
  <c r="O334" i="18"/>
  <c r="R334" i="18"/>
  <c r="Z334" i="18"/>
  <c r="N335" i="18"/>
  <c r="O335" i="18"/>
  <c r="R335" i="18"/>
  <c r="Z335" i="18"/>
  <c r="N336" i="18"/>
  <c r="O336" i="18"/>
  <c r="R336" i="18"/>
  <c r="Z336" i="18"/>
  <c r="N337" i="18"/>
  <c r="O337" i="18"/>
  <c r="R337" i="18"/>
  <c r="Z337" i="18"/>
  <c r="N338" i="18"/>
  <c r="O338" i="18"/>
  <c r="R338" i="18"/>
  <c r="Z338" i="18"/>
  <c r="N339" i="18"/>
  <c r="O339" i="18"/>
  <c r="R339" i="18"/>
  <c r="Z339" i="18"/>
  <c r="N340" i="18"/>
  <c r="O340" i="18"/>
  <c r="R340" i="18"/>
  <c r="Z340" i="18"/>
  <c r="N341" i="18"/>
  <c r="O341" i="18"/>
  <c r="R341" i="18"/>
  <c r="Z341" i="18"/>
  <c r="N342" i="18"/>
  <c r="O342" i="18"/>
  <c r="R342" i="18"/>
  <c r="Z342" i="18"/>
  <c r="N343" i="18"/>
  <c r="O343" i="18"/>
  <c r="R343" i="18"/>
  <c r="Z343" i="18"/>
  <c r="N344" i="18"/>
  <c r="O344" i="18"/>
  <c r="R344" i="18"/>
  <c r="Z344" i="18"/>
  <c r="N345" i="18"/>
  <c r="O345" i="18"/>
  <c r="R345" i="18"/>
  <c r="Z345" i="18"/>
  <c r="N346" i="18"/>
  <c r="O346" i="18"/>
  <c r="R346" i="18"/>
  <c r="Z346" i="18"/>
  <c r="N347" i="18"/>
  <c r="O347" i="18"/>
  <c r="R347" i="18"/>
  <c r="Z347" i="18"/>
  <c r="N348" i="18"/>
  <c r="O348" i="18"/>
  <c r="R348" i="18"/>
  <c r="Z348" i="18"/>
  <c r="N349" i="18"/>
  <c r="O349" i="18"/>
  <c r="R349" i="18"/>
  <c r="Z349" i="18"/>
  <c r="N350" i="18"/>
  <c r="O350" i="18"/>
  <c r="R350" i="18"/>
  <c r="Z350" i="18"/>
  <c r="N351" i="18"/>
  <c r="O351" i="18"/>
  <c r="R351" i="18"/>
  <c r="Z351" i="18"/>
  <c r="N352" i="18"/>
  <c r="O352" i="18"/>
  <c r="R352" i="18"/>
  <c r="Z352" i="18"/>
  <c r="N353" i="18"/>
  <c r="O353" i="18"/>
  <c r="R353" i="18"/>
  <c r="Z353" i="18"/>
  <c r="N354" i="18"/>
  <c r="O354" i="18"/>
  <c r="R354" i="18"/>
  <c r="Z354" i="18"/>
  <c r="N355" i="18"/>
  <c r="O355" i="18"/>
  <c r="R355" i="18"/>
  <c r="Z355" i="18"/>
  <c r="N356" i="18"/>
  <c r="O356" i="18"/>
  <c r="R356" i="18"/>
  <c r="Z356" i="18"/>
  <c r="N357" i="18"/>
  <c r="O357" i="18"/>
  <c r="R357" i="18"/>
  <c r="Z357" i="18"/>
  <c r="N358" i="18"/>
  <c r="O358" i="18"/>
  <c r="R358" i="18"/>
  <c r="Z358" i="18"/>
  <c r="N359" i="18"/>
  <c r="O359" i="18"/>
  <c r="R359" i="18"/>
  <c r="Z359" i="18"/>
  <c r="N360" i="18"/>
  <c r="O360" i="18"/>
  <c r="R360" i="18"/>
  <c r="Z360" i="18"/>
  <c r="N361" i="18"/>
  <c r="O361" i="18"/>
  <c r="R361" i="18"/>
  <c r="Z361" i="18"/>
  <c r="N362" i="18"/>
  <c r="O362" i="18"/>
  <c r="R362" i="18"/>
  <c r="Z362" i="18"/>
  <c r="N363" i="18"/>
  <c r="O363" i="18"/>
  <c r="R363" i="18"/>
  <c r="Z363" i="18"/>
  <c r="N364" i="18"/>
  <c r="O364" i="18"/>
  <c r="R364" i="18"/>
  <c r="Z364" i="18"/>
  <c r="N365" i="18"/>
  <c r="O365" i="18"/>
  <c r="R365" i="18"/>
  <c r="Z365" i="18"/>
  <c r="N366" i="18"/>
  <c r="O366" i="18"/>
  <c r="R366" i="18"/>
  <c r="Z366" i="18"/>
  <c r="N367" i="18"/>
  <c r="O367" i="18"/>
  <c r="R367" i="18"/>
  <c r="Z367" i="18"/>
  <c r="N368" i="18"/>
  <c r="O368" i="18"/>
  <c r="R368" i="18"/>
  <c r="Z368" i="18"/>
  <c r="N369" i="18"/>
  <c r="O369" i="18"/>
  <c r="R369" i="18"/>
  <c r="Z369" i="18"/>
  <c r="N370" i="18"/>
  <c r="O370" i="18"/>
  <c r="R370" i="18"/>
  <c r="Z370" i="18"/>
  <c r="N371" i="18"/>
  <c r="O371" i="18"/>
  <c r="R371" i="18"/>
  <c r="Z371" i="18"/>
  <c r="N372" i="18"/>
  <c r="O372" i="18"/>
  <c r="R372" i="18"/>
  <c r="Z372" i="18"/>
  <c r="N373" i="18"/>
  <c r="O373" i="18"/>
  <c r="R373" i="18"/>
  <c r="Z373" i="18"/>
  <c r="N374" i="18"/>
  <c r="O374" i="18"/>
  <c r="R374" i="18"/>
  <c r="Z374" i="18"/>
  <c r="N375" i="18"/>
  <c r="O375" i="18"/>
  <c r="R375" i="18"/>
  <c r="Z375" i="18"/>
  <c r="N376" i="18"/>
  <c r="O376" i="18"/>
  <c r="R376" i="18"/>
  <c r="Z376" i="18"/>
  <c r="N377" i="18"/>
  <c r="O377" i="18"/>
  <c r="R377" i="18"/>
  <c r="Z377" i="18"/>
  <c r="N378" i="18"/>
  <c r="O378" i="18"/>
  <c r="R378" i="18"/>
  <c r="Z378" i="18"/>
  <c r="N379" i="18"/>
  <c r="O379" i="18"/>
  <c r="R379" i="18"/>
  <c r="Z379" i="18"/>
  <c r="N380" i="18"/>
  <c r="O380" i="18"/>
  <c r="R380" i="18"/>
  <c r="Z380" i="18"/>
  <c r="N381" i="18"/>
  <c r="O381" i="18"/>
  <c r="R381" i="18"/>
  <c r="Z381" i="18"/>
  <c r="N382" i="18"/>
  <c r="O382" i="18"/>
  <c r="R382" i="18"/>
  <c r="Z382" i="18"/>
  <c r="N383" i="18"/>
  <c r="O383" i="18"/>
  <c r="R383" i="18"/>
  <c r="Z383" i="18"/>
  <c r="N384" i="18"/>
  <c r="O384" i="18"/>
  <c r="R384" i="18"/>
  <c r="Z384" i="18"/>
  <c r="N385" i="18"/>
  <c r="O385" i="18"/>
  <c r="R385" i="18"/>
  <c r="Z385" i="18"/>
  <c r="N386" i="18"/>
  <c r="O386" i="18"/>
  <c r="R386" i="18"/>
  <c r="Z386" i="18"/>
  <c r="N387" i="18"/>
  <c r="O387" i="18"/>
  <c r="R387" i="18"/>
  <c r="Z387" i="18"/>
  <c r="N388" i="18"/>
  <c r="O388" i="18"/>
  <c r="R388" i="18"/>
  <c r="Z388" i="18"/>
  <c r="N389" i="18"/>
  <c r="O389" i="18"/>
  <c r="R389" i="18"/>
  <c r="Z389" i="18"/>
  <c r="N390" i="18"/>
  <c r="O390" i="18"/>
  <c r="R390" i="18"/>
  <c r="Z390" i="18"/>
  <c r="N391" i="18"/>
  <c r="O391" i="18"/>
  <c r="R391" i="18"/>
  <c r="Z391" i="18"/>
  <c r="N392" i="18"/>
  <c r="O392" i="18"/>
  <c r="R392" i="18"/>
  <c r="Z392" i="18"/>
  <c r="N393" i="18"/>
  <c r="O393" i="18"/>
  <c r="R393" i="18"/>
  <c r="Z393" i="18"/>
  <c r="N394" i="18"/>
  <c r="O394" i="18"/>
  <c r="R394" i="18"/>
  <c r="Z394" i="18"/>
  <c r="N395" i="18"/>
  <c r="O395" i="18"/>
  <c r="R395" i="18"/>
  <c r="Z395" i="18"/>
  <c r="N396" i="18"/>
  <c r="O396" i="18"/>
  <c r="R396" i="18"/>
  <c r="Z396" i="18"/>
  <c r="N397" i="18"/>
  <c r="O397" i="18"/>
  <c r="R397" i="18"/>
  <c r="Z397" i="18"/>
  <c r="N398" i="18"/>
  <c r="O398" i="18"/>
  <c r="R398" i="18"/>
  <c r="Z398" i="18"/>
  <c r="N399" i="18"/>
  <c r="O399" i="18"/>
  <c r="R399" i="18"/>
  <c r="Z399" i="18"/>
  <c r="N400" i="18"/>
  <c r="O400" i="18"/>
  <c r="R400" i="18"/>
  <c r="Z400" i="18"/>
  <c r="N401" i="18"/>
  <c r="O401" i="18"/>
  <c r="R401" i="18"/>
  <c r="Z401" i="18"/>
  <c r="N402" i="18"/>
  <c r="O402" i="18"/>
  <c r="R402" i="18"/>
  <c r="Z402" i="18"/>
  <c r="N403" i="18"/>
  <c r="O403" i="18"/>
  <c r="R403" i="18"/>
  <c r="Z403" i="18"/>
  <c r="N404" i="18"/>
  <c r="O404" i="18"/>
  <c r="R404" i="18"/>
  <c r="Z404" i="18"/>
  <c r="N405" i="18"/>
  <c r="O405" i="18"/>
  <c r="R405" i="18"/>
  <c r="Z405" i="18"/>
  <c r="N406" i="18"/>
  <c r="O406" i="18"/>
  <c r="R406" i="18"/>
  <c r="Z406" i="18"/>
  <c r="N407" i="18"/>
  <c r="O407" i="18"/>
  <c r="R407" i="18"/>
  <c r="Z407" i="18"/>
  <c r="N408" i="18"/>
  <c r="O408" i="18"/>
  <c r="R408" i="18"/>
  <c r="Z408" i="18"/>
  <c r="N409" i="18"/>
  <c r="O409" i="18"/>
  <c r="R409" i="18"/>
  <c r="Z409" i="18"/>
  <c r="N410" i="18"/>
  <c r="O410" i="18"/>
  <c r="R410" i="18"/>
  <c r="Z410" i="18"/>
  <c r="N411" i="18"/>
  <c r="O411" i="18"/>
  <c r="R411" i="18"/>
  <c r="Z411" i="18"/>
  <c r="N412" i="18"/>
  <c r="O412" i="18"/>
  <c r="R412" i="18"/>
  <c r="Z412" i="18"/>
  <c r="N413" i="18"/>
  <c r="O413" i="18"/>
  <c r="R413" i="18"/>
  <c r="Z413" i="18"/>
  <c r="N414" i="18"/>
  <c r="O414" i="18"/>
  <c r="R414" i="18"/>
  <c r="Z414" i="18"/>
  <c r="N415" i="18"/>
  <c r="O415" i="18"/>
  <c r="R415" i="18"/>
  <c r="Z415" i="18"/>
  <c r="N416" i="18"/>
  <c r="O416" i="18"/>
  <c r="R416" i="18"/>
  <c r="Z416" i="18"/>
  <c r="N417" i="18"/>
  <c r="O417" i="18"/>
  <c r="R417" i="18"/>
  <c r="Z417" i="18"/>
  <c r="N418" i="18"/>
  <c r="O418" i="18"/>
  <c r="R418" i="18"/>
  <c r="Z418" i="18"/>
  <c r="N419" i="18"/>
  <c r="O419" i="18"/>
  <c r="R419" i="18"/>
  <c r="Z419" i="18"/>
  <c r="N16" i="18"/>
  <c r="R16" i="18"/>
  <c r="Z16" i="18"/>
  <c r="N17" i="18"/>
  <c r="O17" i="18"/>
  <c r="R17" i="18"/>
  <c r="Z17" i="18"/>
  <c r="N18" i="18"/>
  <c r="O18" i="18"/>
  <c r="R18" i="18"/>
  <c r="Z18" i="18"/>
  <c r="N19" i="18"/>
  <c r="O19" i="18"/>
  <c r="Z19" i="18"/>
  <c r="N20" i="18"/>
  <c r="O20" i="18"/>
  <c r="R20" i="18"/>
  <c r="Z20" i="18"/>
  <c r="N21" i="18"/>
  <c r="Z21" i="18"/>
  <c r="N22" i="18"/>
  <c r="O22" i="18"/>
  <c r="Z22" i="18"/>
  <c r="N23" i="18"/>
  <c r="O23" i="18"/>
  <c r="Z23" i="18"/>
  <c r="N24" i="18"/>
  <c r="R24" i="18"/>
  <c r="Z24" i="18"/>
  <c r="N25" i="18"/>
  <c r="R25" i="18"/>
  <c r="Z25" i="18"/>
  <c r="N26" i="18"/>
  <c r="R26" i="18"/>
  <c r="Z26" i="18"/>
  <c r="N27" i="18"/>
  <c r="O27" i="18"/>
  <c r="R27" i="18"/>
  <c r="Z27" i="18"/>
  <c r="Z15" i="18"/>
  <c r="P107" i="18" l="1"/>
  <c r="Q107" i="18" s="1"/>
  <c r="U107" i="18" s="1"/>
  <c r="V107" i="18" s="1"/>
  <c r="P99" i="18"/>
  <c r="Q99" i="18" s="1"/>
  <c r="U99" i="18" s="1"/>
  <c r="T99" i="18" s="1"/>
  <c r="P91" i="18"/>
  <c r="Q91" i="18" s="1"/>
  <c r="U91" i="18" s="1"/>
  <c r="T91" i="18" s="1"/>
  <c r="P83" i="18"/>
  <c r="Q83" i="18" s="1"/>
  <c r="U83" i="18" s="1"/>
  <c r="T83" i="18" s="1"/>
  <c r="P75" i="18"/>
  <c r="Q75" i="18" s="1"/>
  <c r="U75" i="18" s="1"/>
  <c r="T75" i="18" s="1"/>
  <c r="P67" i="18"/>
  <c r="Q67" i="18" s="1"/>
  <c r="U67" i="18" s="1"/>
  <c r="V67" i="18" s="1"/>
  <c r="P63" i="18"/>
  <c r="Q63" i="18" s="1"/>
  <c r="U63" i="18" s="1"/>
  <c r="V63" i="18" s="1"/>
  <c r="P59" i="18"/>
  <c r="Q59" i="18" s="1"/>
  <c r="U59" i="18" s="1"/>
  <c r="T59" i="18" s="1"/>
  <c r="P55" i="18"/>
  <c r="Q55" i="18" s="1"/>
  <c r="U55" i="18" s="1"/>
  <c r="T55" i="18" s="1"/>
  <c r="P148" i="18"/>
  <c r="Q148" i="18" s="1"/>
  <c r="U148" i="18" s="1"/>
  <c r="T148" i="18" s="1"/>
  <c r="P144" i="18"/>
  <c r="Q144" i="18" s="1"/>
  <c r="U144" i="18" s="1"/>
  <c r="V144" i="18" s="1"/>
  <c r="P140" i="18"/>
  <c r="Q140" i="18" s="1"/>
  <c r="U140" i="18" s="1"/>
  <c r="V140" i="18" s="1"/>
  <c r="P136" i="18"/>
  <c r="Q136" i="18" s="1"/>
  <c r="U136" i="18" s="1"/>
  <c r="V136" i="18" s="1"/>
  <c r="P132" i="18"/>
  <c r="Q132" i="18" s="1"/>
  <c r="U132" i="18" s="1"/>
  <c r="T132" i="18" s="1"/>
  <c r="P128" i="18"/>
  <c r="Q128" i="18" s="1"/>
  <c r="U128" i="18" s="1"/>
  <c r="V128" i="18" s="1"/>
  <c r="P124" i="18"/>
  <c r="Q124" i="18" s="1"/>
  <c r="U124" i="18" s="1"/>
  <c r="V124" i="18" s="1"/>
  <c r="P120" i="18"/>
  <c r="Q120" i="18" s="1"/>
  <c r="U120" i="18" s="1"/>
  <c r="V120" i="18" s="1"/>
  <c r="P116" i="18"/>
  <c r="Q116" i="18" s="1"/>
  <c r="U116" i="18" s="1"/>
  <c r="T116" i="18" s="1"/>
  <c r="P112" i="18"/>
  <c r="Q112" i="18" s="1"/>
  <c r="U112" i="18" s="1"/>
  <c r="T112" i="18" s="1"/>
  <c r="P100" i="18"/>
  <c r="Q100" i="18" s="1"/>
  <c r="U100" i="18" s="1"/>
  <c r="V100" i="18" s="1"/>
  <c r="P92" i="18"/>
  <c r="Q92" i="18" s="1"/>
  <c r="U92" i="18" s="1"/>
  <c r="V92" i="18" s="1"/>
  <c r="P88" i="18"/>
  <c r="Q88" i="18" s="1"/>
  <c r="U88" i="18" s="1"/>
  <c r="T88" i="18" s="1"/>
  <c r="P80" i="18"/>
  <c r="Q80" i="18" s="1"/>
  <c r="U80" i="18" s="1"/>
  <c r="V80" i="18" s="1"/>
  <c r="P28" i="18"/>
  <c r="Q28" i="18" s="1"/>
  <c r="U28" i="18" s="1"/>
  <c r="T28" i="18" s="1"/>
  <c r="P238" i="18"/>
  <c r="Q238" i="18" s="1"/>
  <c r="U238" i="18" s="1"/>
  <c r="T238" i="18" s="1"/>
  <c r="P51" i="18"/>
  <c r="Q51" i="18" s="1"/>
  <c r="U51" i="18" s="1"/>
  <c r="V51" i="18" s="1"/>
  <c r="P47" i="18"/>
  <c r="Q47" i="18" s="1"/>
  <c r="U47" i="18" s="1"/>
  <c r="V47" i="18" s="1"/>
  <c r="P43" i="18"/>
  <c r="Q43" i="18" s="1"/>
  <c r="U43" i="18" s="1"/>
  <c r="T43" i="18" s="1"/>
  <c r="P39" i="18"/>
  <c r="Q39" i="18" s="1"/>
  <c r="U39" i="18" s="1"/>
  <c r="V39" i="18" s="1"/>
  <c r="P36" i="18"/>
  <c r="Q36" i="18" s="1"/>
  <c r="U36" i="18" s="1"/>
  <c r="T36" i="18" s="1"/>
  <c r="P32" i="18"/>
  <c r="Q32" i="18" s="1"/>
  <c r="U32" i="18" s="1"/>
  <c r="T32" i="18" s="1"/>
  <c r="P286" i="18"/>
  <c r="Q286" i="18" s="1"/>
  <c r="U286" i="18" s="1"/>
  <c r="T286" i="18" s="1"/>
  <c r="P282" i="18"/>
  <c r="Q282" i="18" s="1"/>
  <c r="U282" i="18" s="1"/>
  <c r="V282" i="18" s="1"/>
  <c r="P278" i="18"/>
  <c r="Q278" i="18" s="1"/>
  <c r="U278" i="18" s="1"/>
  <c r="T278" i="18" s="1"/>
  <c r="P274" i="18"/>
  <c r="Q274" i="18" s="1"/>
  <c r="U274" i="18" s="1"/>
  <c r="T274" i="18" s="1"/>
  <c r="P270" i="18"/>
  <c r="Q270" i="18" s="1"/>
  <c r="U270" i="18" s="1"/>
  <c r="V270" i="18" s="1"/>
  <c r="P266" i="18"/>
  <c r="Q266" i="18" s="1"/>
  <c r="U266" i="18" s="1"/>
  <c r="V266" i="18" s="1"/>
  <c r="P262" i="18"/>
  <c r="Q262" i="18" s="1"/>
  <c r="U262" i="18" s="1"/>
  <c r="T262" i="18" s="1"/>
  <c r="P258" i="18"/>
  <c r="Q258" i="18" s="1"/>
  <c r="U258" i="18" s="1"/>
  <c r="V258" i="18" s="1"/>
  <c r="P254" i="18"/>
  <c r="Q254" i="18" s="1"/>
  <c r="U254" i="18" s="1"/>
  <c r="T254" i="18" s="1"/>
  <c r="P250" i="18"/>
  <c r="Q250" i="18" s="1"/>
  <c r="U250" i="18" s="1"/>
  <c r="T250" i="18" s="1"/>
  <c r="P246" i="18"/>
  <c r="Q246" i="18" s="1"/>
  <c r="U246" i="18" s="1"/>
  <c r="T246" i="18" s="1"/>
  <c r="P242" i="18"/>
  <c r="Q242" i="18" s="1"/>
  <c r="U242" i="18" s="1"/>
  <c r="V242" i="18" s="1"/>
  <c r="P234" i="18"/>
  <c r="Q234" i="18" s="1"/>
  <c r="U234" i="18" s="1"/>
  <c r="T234" i="18" s="1"/>
  <c r="P230" i="18"/>
  <c r="Q230" i="18" s="1"/>
  <c r="U230" i="18" s="1"/>
  <c r="V230" i="18" s="1"/>
  <c r="P226" i="18"/>
  <c r="Q226" i="18" s="1"/>
  <c r="U226" i="18" s="1"/>
  <c r="T226" i="18" s="1"/>
  <c r="P222" i="18"/>
  <c r="Q222" i="18" s="1"/>
  <c r="U222" i="18" s="1"/>
  <c r="T222" i="18" s="1"/>
  <c r="P218" i="18"/>
  <c r="Q218" i="18" s="1"/>
  <c r="U218" i="18" s="1"/>
  <c r="T218" i="18" s="1"/>
  <c r="P214" i="18"/>
  <c r="Q214" i="18" s="1"/>
  <c r="U214" i="18" s="1"/>
  <c r="T214" i="18" s="1"/>
  <c r="P210" i="18"/>
  <c r="Q210" i="18" s="1"/>
  <c r="U210" i="18" s="1"/>
  <c r="T210" i="18" s="1"/>
  <c r="P206" i="18"/>
  <c r="Q206" i="18" s="1"/>
  <c r="U206" i="18" s="1"/>
  <c r="T206" i="18" s="1"/>
  <c r="P202" i="18"/>
  <c r="Q202" i="18" s="1"/>
  <c r="U202" i="18" s="1"/>
  <c r="T202" i="18" s="1"/>
  <c r="P198" i="18"/>
  <c r="Q198" i="18" s="1"/>
  <c r="U198" i="18" s="1"/>
  <c r="V198" i="18" s="1"/>
  <c r="P194" i="18"/>
  <c r="Q194" i="18" s="1"/>
  <c r="U194" i="18" s="1"/>
  <c r="T194" i="18" s="1"/>
  <c r="P190" i="18"/>
  <c r="Q190" i="18" s="1"/>
  <c r="U190" i="18" s="1"/>
  <c r="T190" i="18" s="1"/>
  <c r="P186" i="18"/>
  <c r="Q186" i="18" s="1"/>
  <c r="U186" i="18" s="1"/>
  <c r="T186" i="18" s="1"/>
  <c r="P182" i="18"/>
  <c r="Q182" i="18" s="1"/>
  <c r="U182" i="18" s="1"/>
  <c r="T182" i="18" s="1"/>
  <c r="P178" i="18"/>
  <c r="Q178" i="18" s="1"/>
  <c r="U178" i="18" s="1"/>
  <c r="T178" i="18" s="1"/>
  <c r="P174" i="18"/>
  <c r="Q174" i="18" s="1"/>
  <c r="U174" i="18" s="1"/>
  <c r="T174" i="18" s="1"/>
  <c r="P170" i="18"/>
  <c r="Q170" i="18" s="1"/>
  <c r="U170" i="18" s="1"/>
  <c r="T170" i="18" s="1"/>
  <c r="P166" i="18"/>
  <c r="Q166" i="18" s="1"/>
  <c r="U166" i="18" s="1"/>
  <c r="T166" i="18" s="1"/>
  <c r="P162" i="18"/>
  <c r="Q162" i="18" s="1"/>
  <c r="U162" i="18" s="1"/>
  <c r="T162" i="18" s="1"/>
  <c r="P158" i="18"/>
  <c r="Q158" i="18" s="1"/>
  <c r="U158" i="18" s="1"/>
  <c r="T158" i="18" s="1"/>
  <c r="P154" i="18"/>
  <c r="Q154" i="18" s="1"/>
  <c r="U154" i="18" s="1"/>
  <c r="T154" i="18" s="1"/>
  <c r="P150" i="18"/>
  <c r="Q150" i="18" s="1"/>
  <c r="U150" i="18" s="1"/>
  <c r="T150" i="18" s="1"/>
  <c r="P146" i="18"/>
  <c r="Q146" i="18" s="1"/>
  <c r="U146" i="18" s="1"/>
  <c r="T146" i="18" s="1"/>
  <c r="P142" i="18"/>
  <c r="Q142" i="18" s="1"/>
  <c r="U142" i="18" s="1"/>
  <c r="T142" i="18" s="1"/>
  <c r="P138" i="18"/>
  <c r="Q138" i="18" s="1"/>
  <c r="U138" i="18" s="1"/>
  <c r="V138" i="18" s="1"/>
  <c r="P134" i="18"/>
  <c r="Q134" i="18" s="1"/>
  <c r="U134" i="18" s="1"/>
  <c r="T134" i="18" s="1"/>
  <c r="P130" i="18"/>
  <c r="Q130" i="18" s="1"/>
  <c r="U130" i="18" s="1"/>
  <c r="V130" i="18" s="1"/>
  <c r="P126" i="18"/>
  <c r="Q126" i="18" s="1"/>
  <c r="U126" i="18" s="1"/>
  <c r="T126" i="18" s="1"/>
  <c r="P122" i="18"/>
  <c r="Q122" i="18" s="1"/>
  <c r="U122" i="18" s="1"/>
  <c r="T122" i="18" s="1"/>
  <c r="P118" i="18"/>
  <c r="Q118" i="18" s="1"/>
  <c r="U118" i="18" s="1"/>
  <c r="T118" i="18" s="1"/>
  <c r="P114" i="18"/>
  <c r="Q114" i="18" s="1"/>
  <c r="U114" i="18" s="1"/>
  <c r="T114" i="18" s="1"/>
  <c r="P106" i="18"/>
  <c r="Q106" i="18" s="1"/>
  <c r="U106" i="18" s="1"/>
  <c r="V106" i="18" s="1"/>
  <c r="P98" i="18"/>
  <c r="Q98" i="18" s="1"/>
  <c r="U98" i="18" s="1"/>
  <c r="T98" i="18" s="1"/>
  <c r="P90" i="18"/>
  <c r="Q90" i="18" s="1"/>
  <c r="U90" i="18" s="1"/>
  <c r="V90" i="18" s="1"/>
  <c r="P82" i="18"/>
  <c r="Q82" i="18" s="1"/>
  <c r="U82" i="18" s="1"/>
  <c r="T82" i="18" s="1"/>
  <c r="P74" i="18"/>
  <c r="Q74" i="18" s="1"/>
  <c r="U74" i="18" s="1"/>
  <c r="V74" i="18" s="1"/>
  <c r="P24" i="18"/>
  <c r="Q24" i="18" s="1"/>
  <c r="U24" i="18" s="1"/>
  <c r="V24" i="18" s="1"/>
  <c r="P20" i="18"/>
  <c r="Q20" i="18" s="1"/>
  <c r="U20" i="18" s="1"/>
  <c r="V20" i="18" s="1"/>
  <c r="P412" i="18"/>
  <c r="Q412" i="18" s="1"/>
  <c r="U412" i="18" s="1"/>
  <c r="V412" i="18" s="1"/>
  <c r="P408" i="18"/>
  <c r="Q408" i="18" s="1"/>
  <c r="U408" i="18" s="1"/>
  <c r="V408" i="18" s="1"/>
  <c r="P404" i="18"/>
  <c r="Q404" i="18" s="1"/>
  <c r="U404" i="18" s="1"/>
  <c r="V404" i="18" s="1"/>
  <c r="P400" i="18"/>
  <c r="Q400" i="18" s="1"/>
  <c r="U400" i="18" s="1"/>
  <c r="V400" i="18" s="1"/>
  <c r="P396" i="18"/>
  <c r="Q396" i="18" s="1"/>
  <c r="U396" i="18" s="1"/>
  <c r="V396" i="18" s="1"/>
  <c r="P392" i="18"/>
  <c r="Q392" i="18" s="1"/>
  <c r="U392" i="18" s="1"/>
  <c r="V392" i="18" s="1"/>
  <c r="P388" i="18"/>
  <c r="Q388" i="18" s="1"/>
  <c r="U388" i="18" s="1"/>
  <c r="V388" i="18" s="1"/>
  <c r="P384" i="18"/>
  <c r="Q384" i="18" s="1"/>
  <c r="U384" i="18" s="1"/>
  <c r="V384" i="18" s="1"/>
  <c r="P380" i="18"/>
  <c r="Q380" i="18" s="1"/>
  <c r="U380" i="18" s="1"/>
  <c r="V380" i="18" s="1"/>
  <c r="P376" i="18"/>
  <c r="Q376" i="18" s="1"/>
  <c r="U376" i="18" s="1"/>
  <c r="V376" i="18" s="1"/>
  <c r="P372" i="18"/>
  <c r="Q372" i="18" s="1"/>
  <c r="U372" i="18" s="1"/>
  <c r="V372" i="18" s="1"/>
  <c r="P368" i="18"/>
  <c r="Q368" i="18" s="1"/>
  <c r="U368" i="18" s="1"/>
  <c r="V368" i="18" s="1"/>
  <c r="P364" i="18"/>
  <c r="Q364" i="18" s="1"/>
  <c r="U364" i="18" s="1"/>
  <c r="V364" i="18" s="1"/>
  <c r="P360" i="18"/>
  <c r="Q360" i="18" s="1"/>
  <c r="U360" i="18" s="1"/>
  <c r="V360" i="18" s="1"/>
  <c r="P356" i="18"/>
  <c r="Q356" i="18" s="1"/>
  <c r="U356" i="18" s="1"/>
  <c r="V356" i="18" s="1"/>
  <c r="P352" i="18"/>
  <c r="Q352" i="18" s="1"/>
  <c r="U352" i="18" s="1"/>
  <c r="V352" i="18" s="1"/>
  <c r="P348" i="18"/>
  <c r="Q348" i="18" s="1"/>
  <c r="U348" i="18" s="1"/>
  <c r="V348" i="18" s="1"/>
  <c r="P344" i="18"/>
  <c r="Q344" i="18" s="1"/>
  <c r="U344" i="18" s="1"/>
  <c r="V344" i="18" s="1"/>
  <c r="P340" i="18"/>
  <c r="Q340" i="18" s="1"/>
  <c r="U340" i="18" s="1"/>
  <c r="V340" i="18" s="1"/>
  <c r="P336" i="18"/>
  <c r="Q336" i="18" s="1"/>
  <c r="U336" i="18" s="1"/>
  <c r="V336" i="18" s="1"/>
  <c r="P332" i="18"/>
  <c r="Q332" i="18" s="1"/>
  <c r="U332" i="18" s="1"/>
  <c r="V332" i="18" s="1"/>
  <c r="P328" i="18"/>
  <c r="Q328" i="18" s="1"/>
  <c r="U328" i="18" s="1"/>
  <c r="V328" i="18" s="1"/>
  <c r="P324" i="18"/>
  <c r="Q324" i="18" s="1"/>
  <c r="U324" i="18" s="1"/>
  <c r="V324" i="18" s="1"/>
  <c r="P320" i="18"/>
  <c r="Q320" i="18" s="1"/>
  <c r="U320" i="18" s="1"/>
  <c r="V320" i="18" s="1"/>
  <c r="P316" i="18"/>
  <c r="Q316" i="18" s="1"/>
  <c r="U316" i="18" s="1"/>
  <c r="V316" i="18" s="1"/>
  <c r="P312" i="18"/>
  <c r="Q312" i="18" s="1"/>
  <c r="U312" i="18" s="1"/>
  <c r="V312" i="18" s="1"/>
  <c r="P308" i="18"/>
  <c r="Q308" i="18" s="1"/>
  <c r="U308" i="18" s="1"/>
  <c r="V308" i="18" s="1"/>
  <c r="P304" i="18"/>
  <c r="Q304" i="18" s="1"/>
  <c r="U304" i="18" s="1"/>
  <c r="V304" i="18" s="1"/>
  <c r="P300" i="18"/>
  <c r="Q300" i="18" s="1"/>
  <c r="U300" i="18" s="1"/>
  <c r="V300" i="18" s="1"/>
  <c r="P296" i="18"/>
  <c r="Q296" i="18" s="1"/>
  <c r="U296" i="18" s="1"/>
  <c r="V296" i="18" s="1"/>
  <c r="P292" i="18"/>
  <c r="Q292" i="18" s="1"/>
  <c r="U292" i="18" s="1"/>
  <c r="V292" i="18" s="1"/>
  <c r="P288" i="18"/>
  <c r="Q288" i="18" s="1"/>
  <c r="U288" i="18" s="1"/>
  <c r="V288" i="18" s="1"/>
  <c r="P26" i="18"/>
  <c r="Q26" i="18" s="1"/>
  <c r="U26" i="18" s="1"/>
  <c r="T26" i="18" s="1"/>
  <c r="P22" i="18"/>
  <c r="Q22" i="18" s="1"/>
  <c r="U22" i="18" s="1"/>
  <c r="V22" i="18" s="1"/>
  <c r="P18" i="18"/>
  <c r="Q18" i="18" s="1"/>
  <c r="U18" i="18" s="1"/>
  <c r="V18" i="18" s="1"/>
  <c r="P414" i="18"/>
  <c r="Q414" i="18" s="1"/>
  <c r="U414" i="18" s="1"/>
  <c r="T414" i="18" s="1"/>
  <c r="P410" i="18"/>
  <c r="Q410" i="18" s="1"/>
  <c r="U410" i="18" s="1"/>
  <c r="T410" i="18" s="1"/>
  <c r="P406" i="18"/>
  <c r="Q406" i="18" s="1"/>
  <c r="U406" i="18" s="1"/>
  <c r="T406" i="18" s="1"/>
  <c r="P402" i="18"/>
  <c r="Q402" i="18" s="1"/>
  <c r="U402" i="18" s="1"/>
  <c r="T402" i="18" s="1"/>
  <c r="P398" i="18"/>
  <c r="Q398" i="18" s="1"/>
  <c r="U398" i="18" s="1"/>
  <c r="T398" i="18" s="1"/>
  <c r="P394" i="18"/>
  <c r="Q394" i="18" s="1"/>
  <c r="U394" i="18" s="1"/>
  <c r="T394" i="18" s="1"/>
  <c r="P390" i="18"/>
  <c r="Q390" i="18" s="1"/>
  <c r="U390" i="18" s="1"/>
  <c r="V390" i="18" s="1"/>
  <c r="P386" i="18"/>
  <c r="Q386" i="18" s="1"/>
  <c r="U386" i="18" s="1"/>
  <c r="T386" i="18" s="1"/>
  <c r="P382" i="18"/>
  <c r="Q382" i="18" s="1"/>
  <c r="U382" i="18" s="1"/>
  <c r="V382" i="18" s="1"/>
  <c r="P378" i="18"/>
  <c r="Q378" i="18" s="1"/>
  <c r="U378" i="18" s="1"/>
  <c r="T378" i="18" s="1"/>
  <c r="P374" i="18"/>
  <c r="Q374" i="18" s="1"/>
  <c r="U374" i="18" s="1"/>
  <c r="T374" i="18" s="1"/>
  <c r="P370" i="18"/>
  <c r="Q370" i="18" s="1"/>
  <c r="U370" i="18" s="1"/>
  <c r="T370" i="18" s="1"/>
  <c r="P366" i="18"/>
  <c r="Q366" i="18" s="1"/>
  <c r="U366" i="18" s="1"/>
  <c r="V366" i="18" s="1"/>
  <c r="P362" i="18"/>
  <c r="Q362" i="18" s="1"/>
  <c r="U362" i="18" s="1"/>
  <c r="T362" i="18" s="1"/>
  <c r="P358" i="18"/>
  <c r="Q358" i="18" s="1"/>
  <c r="U358" i="18" s="1"/>
  <c r="T358" i="18" s="1"/>
  <c r="P354" i="18"/>
  <c r="Q354" i="18" s="1"/>
  <c r="U354" i="18" s="1"/>
  <c r="T354" i="18" s="1"/>
  <c r="P350" i="18"/>
  <c r="Q350" i="18" s="1"/>
  <c r="U350" i="18" s="1"/>
  <c r="T350" i="18" s="1"/>
  <c r="P346" i="18"/>
  <c r="Q346" i="18" s="1"/>
  <c r="U346" i="18" s="1"/>
  <c r="T346" i="18" s="1"/>
  <c r="P342" i="18"/>
  <c r="Q342" i="18" s="1"/>
  <c r="U342" i="18" s="1"/>
  <c r="T342" i="18" s="1"/>
  <c r="P338" i="18"/>
  <c r="Q338" i="18" s="1"/>
  <c r="U338" i="18" s="1"/>
  <c r="T338" i="18" s="1"/>
  <c r="P334" i="18"/>
  <c r="Q334" i="18" s="1"/>
  <c r="U334" i="18" s="1"/>
  <c r="V334" i="18" s="1"/>
  <c r="P330" i="18"/>
  <c r="Q330" i="18" s="1"/>
  <c r="U330" i="18" s="1"/>
  <c r="T330" i="18" s="1"/>
  <c r="P326" i="18"/>
  <c r="Q326" i="18" s="1"/>
  <c r="U326" i="18" s="1"/>
  <c r="T326" i="18" s="1"/>
  <c r="P322" i="18"/>
  <c r="Q322" i="18" s="1"/>
  <c r="U322" i="18" s="1"/>
  <c r="T322" i="18" s="1"/>
  <c r="P318" i="18"/>
  <c r="Q318" i="18" s="1"/>
  <c r="U318" i="18" s="1"/>
  <c r="T318" i="18" s="1"/>
  <c r="P314" i="18"/>
  <c r="Q314" i="18" s="1"/>
  <c r="U314" i="18" s="1"/>
  <c r="T314" i="18" s="1"/>
  <c r="P310" i="18"/>
  <c r="Q310" i="18" s="1"/>
  <c r="U310" i="18" s="1"/>
  <c r="T310" i="18" s="1"/>
  <c r="P306" i="18"/>
  <c r="Q306" i="18" s="1"/>
  <c r="U306" i="18" s="1"/>
  <c r="T306" i="18" s="1"/>
  <c r="P302" i="18"/>
  <c r="Q302" i="18" s="1"/>
  <c r="U302" i="18" s="1"/>
  <c r="T302" i="18" s="1"/>
  <c r="P298" i="18"/>
  <c r="Q298" i="18" s="1"/>
  <c r="U298" i="18" s="1"/>
  <c r="T298" i="18" s="1"/>
  <c r="P294" i="18"/>
  <c r="Q294" i="18" s="1"/>
  <c r="U294" i="18" s="1"/>
  <c r="T294" i="18" s="1"/>
  <c r="P290" i="18"/>
  <c r="Q290" i="18" s="1"/>
  <c r="U290" i="18" s="1"/>
  <c r="T290" i="18" s="1"/>
  <c r="P236" i="18"/>
  <c r="Q236" i="18" s="1"/>
  <c r="U236" i="18" s="1"/>
  <c r="V236" i="18" s="1"/>
  <c r="P232" i="18"/>
  <c r="Q232" i="18" s="1"/>
  <c r="U232" i="18" s="1"/>
  <c r="V232" i="18" s="1"/>
  <c r="P228" i="18"/>
  <c r="Q228" i="18" s="1"/>
  <c r="U228" i="18" s="1"/>
  <c r="V228" i="18" s="1"/>
  <c r="P224" i="18"/>
  <c r="Q224" i="18" s="1"/>
  <c r="U224" i="18" s="1"/>
  <c r="V224" i="18" s="1"/>
  <c r="P220" i="18"/>
  <c r="Q220" i="18" s="1"/>
  <c r="U220" i="18" s="1"/>
  <c r="V220" i="18" s="1"/>
  <c r="P216" i="18"/>
  <c r="Q216" i="18" s="1"/>
  <c r="U216" i="18" s="1"/>
  <c r="V216" i="18" s="1"/>
  <c r="P212" i="18"/>
  <c r="Q212" i="18" s="1"/>
  <c r="U212" i="18" s="1"/>
  <c r="V212" i="18" s="1"/>
  <c r="P208" i="18"/>
  <c r="Q208" i="18" s="1"/>
  <c r="U208" i="18" s="1"/>
  <c r="V208" i="18" s="1"/>
  <c r="P204" i="18"/>
  <c r="Q204" i="18" s="1"/>
  <c r="U204" i="18" s="1"/>
  <c r="T204" i="18" s="1"/>
  <c r="P196" i="18"/>
  <c r="Q196" i="18" s="1"/>
  <c r="U196" i="18" s="1"/>
  <c r="V196" i="18" s="1"/>
  <c r="P192" i="18"/>
  <c r="Q192" i="18" s="1"/>
  <c r="U192" i="18" s="1"/>
  <c r="V192" i="18" s="1"/>
  <c r="P188" i="18"/>
  <c r="Q188" i="18" s="1"/>
  <c r="U188" i="18" s="1"/>
  <c r="V188" i="18" s="1"/>
  <c r="P184" i="18"/>
  <c r="Q184" i="18" s="1"/>
  <c r="U184" i="18" s="1"/>
  <c r="V184" i="18" s="1"/>
  <c r="P180" i="18"/>
  <c r="Q180" i="18" s="1"/>
  <c r="U180" i="18" s="1"/>
  <c r="V180" i="18" s="1"/>
  <c r="P176" i="18"/>
  <c r="Q176" i="18" s="1"/>
  <c r="U176" i="18" s="1"/>
  <c r="V176" i="18" s="1"/>
  <c r="P172" i="18"/>
  <c r="Q172" i="18" s="1"/>
  <c r="U172" i="18" s="1"/>
  <c r="V172" i="18" s="1"/>
  <c r="P168" i="18"/>
  <c r="Q168" i="18" s="1"/>
  <c r="U168" i="18" s="1"/>
  <c r="V168" i="18" s="1"/>
  <c r="P164" i="18"/>
  <c r="Q164" i="18" s="1"/>
  <c r="U164" i="18" s="1"/>
  <c r="T164" i="18" s="1"/>
  <c r="P160" i="18"/>
  <c r="Q160" i="18" s="1"/>
  <c r="U160" i="18" s="1"/>
  <c r="V160" i="18" s="1"/>
  <c r="P156" i="18"/>
  <c r="Q156" i="18" s="1"/>
  <c r="U156" i="18" s="1"/>
  <c r="V156" i="18" s="1"/>
  <c r="P152" i="18"/>
  <c r="Q152" i="18" s="1"/>
  <c r="U152" i="18" s="1"/>
  <c r="V152" i="18" s="1"/>
  <c r="P200" i="18"/>
  <c r="Q200" i="18" s="1"/>
  <c r="U200" i="18" s="1"/>
  <c r="V200" i="18" s="1"/>
  <c r="P419" i="18"/>
  <c r="Q419" i="18" s="1"/>
  <c r="U419" i="18" s="1"/>
  <c r="V419" i="18" s="1"/>
  <c r="P284" i="18"/>
  <c r="Q284" i="18" s="1"/>
  <c r="U284" i="18" s="1"/>
  <c r="V284" i="18" s="1"/>
  <c r="P280" i="18"/>
  <c r="Q280" i="18" s="1"/>
  <c r="U280" i="18" s="1"/>
  <c r="V280" i="18" s="1"/>
  <c r="P276" i="18"/>
  <c r="Q276" i="18" s="1"/>
  <c r="U276" i="18" s="1"/>
  <c r="V276" i="18" s="1"/>
  <c r="P272" i="18"/>
  <c r="Q272" i="18" s="1"/>
  <c r="U272" i="18" s="1"/>
  <c r="V272" i="18" s="1"/>
  <c r="P268" i="18"/>
  <c r="Q268" i="18" s="1"/>
  <c r="U268" i="18" s="1"/>
  <c r="V268" i="18" s="1"/>
  <c r="P264" i="18"/>
  <c r="Q264" i="18" s="1"/>
  <c r="U264" i="18" s="1"/>
  <c r="V264" i="18" s="1"/>
  <c r="P260" i="18"/>
  <c r="Q260" i="18" s="1"/>
  <c r="U260" i="18" s="1"/>
  <c r="V260" i="18" s="1"/>
  <c r="P256" i="18"/>
  <c r="Q256" i="18" s="1"/>
  <c r="U256" i="18" s="1"/>
  <c r="V256" i="18" s="1"/>
  <c r="P252" i="18"/>
  <c r="Q252" i="18" s="1"/>
  <c r="U252" i="18" s="1"/>
  <c r="V252" i="18" s="1"/>
  <c r="P248" i="18"/>
  <c r="Q248" i="18" s="1"/>
  <c r="U248" i="18" s="1"/>
  <c r="V248" i="18" s="1"/>
  <c r="P244" i="18"/>
  <c r="Q244" i="18" s="1"/>
  <c r="U244" i="18" s="1"/>
  <c r="V244" i="18" s="1"/>
  <c r="P240" i="18"/>
  <c r="Q240" i="18" s="1"/>
  <c r="U240" i="18" s="1"/>
  <c r="V240" i="18" s="1"/>
  <c r="P101" i="18"/>
  <c r="Q101" i="18" s="1"/>
  <c r="U101" i="18" s="1"/>
  <c r="V101" i="18" s="1"/>
  <c r="P97" i="18"/>
  <c r="Q97" i="18" s="1"/>
  <c r="U97" i="18" s="1"/>
  <c r="V97" i="18" s="1"/>
  <c r="P93" i="18"/>
  <c r="Q93" i="18" s="1"/>
  <c r="U93" i="18" s="1"/>
  <c r="V93" i="18" s="1"/>
  <c r="P89" i="18"/>
  <c r="Q89" i="18" s="1"/>
  <c r="U89" i="18" s="1"/>
  <c r="T89" i="18" s="1"/>
  <c r="P69" i="18"/>
  <c r="Q69" i="18" s="1"/>
  <c r="U69" i="18" s="1"/>
  <c r="T69" i="18" s="1"/>
  <c r="P65" i="18"/>
  <c r="Q65" i="18" s="1"/>
  <c r="U65" i="18" s="1"/>
  <c r="T65" i="18" s="1"/>
  <c r="P61" i="18"/>
  <c r="Q61" i="18" s="1"/>
  <c r="U61" i="18" s="1"/>
  <c r="T61" i="18" s="1"/>
  <c r="P57" i="18"/>
  <c r="Q57" i="18" s="1"/>
  <c r="U57" i="18" s="1"/>
  <c r="T57" i="18" s="1"/>
  <c r="P53" i="18"/>
  <c r="Q53" i="18" s="1"/>
  <c r="U53" i="18" s="1"/>
  <c r="T53" i="18" s="1"/>
  <c r="P49" i="18"/>
  <c r="Q49" i="18" s="1"/>
  <c r="U49" i="18" s="1"/>
  <c r="T49" i="18" s="1"/>
  <c r="P45" i="18"/>
  <c r="Q45" i="18" s="1"/>
  <c r="U45" i="18" s="1"/>
  <c r="T45" i="18" s="1"/>
  <c r="P41" i="18"/>
  <c r="Q41" i="18" s="1"/>
  <c r="U41" i="18" s="1"/>
  <c r="T41" i="18" s="1"/>
  <c r="P16" i="18"/>
  <c r="Q16" i="18" s="1"/>
  <c r="U16" i="18" s="1"/>
  <c r="T16" i="18" s="1"/>
  <c r="P34" i="18"/>
  <c r="Q34" i="18" s="1"/>
  <c r="U34" i="18" s="1"/>
  <c r="T34" i="18" s="1"/>
  <c r="P30" i="18"/>
  <c r="Q30" i="18" s="1"/>
  <c r="U30" i="18" s="1"/>
  <c r="T30" i="18" s="1"/>
  <c r="P87" i="18"/>
  <c r="Q87" i="18" s="1"/>
  <c r="U87" i="18" s="1"/>
  <c r="V87" i="18" s="1"/>
  <c r="P110" i="18"/>
  <c r="Q110" i="18" s="1"/>
  <c r="U110" i="18" s="1"/>
  <c r="V110" i="18" s="1"/>
  <c r="P85" i="18"/>
  <c r="Q85" i="18" s="1"/>
  <c r="U85" i="18" s="1"/>
  <c r="V85" i="18" s="1"/>
  <c r="P229" i="18"/>
  <c r="Q229" i="18" s="1"/>
  <c r="U229" i="18" s="1"/>
  <c r="T229" i="18" s="1"/>
  <c r="P103" i="18"/>
  <c r="Q103" i="18" s="1"/>
  <c r="U103" i="18" s="1"/>
  <c r="V103" i="18" s="1"/>
  <c r="V186" i="18"/>
  <c r="P133" i="18"/>
  <c r="Q133" i="18" s="1"/>
  <c r="U133" i="18" s="1"/>
  <c r="V133" i="18" s="1"/>
  <c r="P213" i="18"/>
  <c r="Q213" i="18" s="1"/>
  <c r="U213" i="18" s="1"/>
  <c r="T213" i="18" s="1"/>
  <c r="P201" i="18"/>
  <c r="Q201" i="18" s="1"/>
  <c r="U201" i="18" s="1"/>
  <c r="T201" i="18" s="1"/>
  <c r="P197" i="18"/>
  <c r="Q197" i="18" s="1"/>
  <c r="U197" i="18" s="1"/>
  <c r="V197" i="18" s="1"/>
  <c r="P129" i="18"/>
  <c r="Q129" i="18" s="1"/>
  <c r="U129" i="18" s="1"/>
  <c r="V129" i="18" s="1"/>
  <c r="P113" i="18"/>
  <c r="Q113" i="18" s="1"/>
  <c r="U113" i="18" s="1"/>
  <c r="P109" i="18"/>
  <c r="Q109" i="18" s="1"/>
  <c r="U109" i="18" s="1"/>
  <c r="T109" i="18" s="1"/>
  <c r="P71" i="18"/>
  <c r="Q71" i="18" s="1"/>
  <c r="U71" i="18" s="1"/>
  <c r="V71" i="18" s="1"/>
  <c r="P221" i="18"/>
  <c r="Q221" i="18" s="1"/>
  <c r="U221" i="18" s="1"/>
  <c r="V221" i="18" s="1"/>
  <c r="P173" i="18"/>
  <c r="Q173" i="18" s="1"/>
  <c r="U173" i="18" s="1"/>
  <c r="V173" i="18" s="1"/>
  <c r="P181" i="18"/>
  <c r="Q181" i="18" s="1"/>
  <c r="U181" i="18" s="1"/>
  <c r="T181" i="18" s="1"/>
  <c r="P145" i="18"/>
  <c r="Q145" i="18" s="1"/>
  <c r="U145" i="18" s="1"/>
  <c r="V145" i="18" s="1"/>
  <c r="P137" i="18"/>
  <c r="Q137" i="18" s="1"/>
  <c r="U137" i="18" s="1"/>
  <c r="V137" i="18" s="1"/>
  <c r="P121" i="18"/>
  <c r="Q121" i="18" s="1"/>
  <c r="U121" i="18" s="1"/>
  <c r="V121" i="18" s="1"/>
  <c r="P86" i="18"/>
  <c r="Q86" i="18" s="1"/>
  <c r="U86" i="18" s="1"/>
  <c r="P73" i="18"/>
  <c r="Q73" i="18" s="1"/>
  <c r="U73" i="18" s="1"/>
  <c r="T73" i="18" s="1"/>
  <c r="T198" i="18"/>
  <c r="P205" i="18"/>
  <c r="Q205" i="18" s="1"/>
  <c r="U205" i="18" s="1"/>
  <c r="V205" i="18" s="1"/>
  <c r="P185" i="18"/>
  <c r="Q185" i="18" s="1"/>
  <c r="U185" i="18" s="1"/>
  <c r="V185" i="18" s="1"/>
  <c r="P149" i="18"/>
  <c r="Q149" i="18" s="1"/>
  <c r="U149" i="18" s="1"/>
  <c r="P418" i="18"/>
  <c r="Q418" i="18" s="1"/>
  <c r="U418" i="18" s="1"/>
  <c r="V418" i="18" s="1"/>
  <c r="P409" i="18"/>
  <c r="Q409" i="18" s="1"/>
  <c r="U409" i="18" s="1"/>
  <c r="V409" i="18" s="1"/>
  <c r="P401" i="18"/>
  <c r="Q401" i="18" s="1"/>
  <c r="U401" i="18" s="1"/>
  <c r="V401" i="18" s="1"/>
  <c r="P393" i="18"/>
  <c r="Q393" i="18" s="1"/>
  <c r="U393" i="18" s="1"/>
  <c r="V393" i="18" s="1"/>
  <c r="P385" i="18"/>
  <c r="Q385" i="18" s="1"/>
  <c r="U385" i="18" s="1"/>
  <c r="V385" i="18" s="1"/>
  <c r="P377" i="18"/>
  <c r="Q377" i="18" s="1"/>
  <c r="U377" i="18" s="1"/>
  <c r="V377" i="18" s="1"/>
  <c r="P369" i="18"/>
  <c r="Q369" i="18" s="1"/>
  <c r="U369" i="18" s="1"/>
  <c r="V369" i="18" s="1"/>
  <c r="P361" i="18"/>
  <c r="Q361" i="18" s="1"/>
  <c r="U361" i="18" s="1"/>
  <c r="V361" i="18" s="1"/>
  <c r="P353" i="18"/>
  <c r="Q353" i="18" s="1"/>
  <c r="U353" i="18" s="1"/>
  <c r="V353" i="18" s="1"/>
  <c r="P345" i="18"/>
  <c r="Q345" i="18" s="1"/>
  <c r="U345" i="18" s="1"/>
  <c r="V345" i="18" s="1"/>
  <c r="P337" i="18"/>
  <c r="Q337" i="18" s="1"/>
  <c r="U337" i="18" s="1"/>
  <c r="V337" i="18" s="1"/>
  <c r="P329" i="18"/>
  <c r="Q329" i="18" s="1"/>
  <c r="U329" i="18" s="1"/>
  <c r="V329" i="18" s="1"/>
  <c r="P321" i="18"/>
  <c r="Q321" i="18" s="1"/>
  <c r="U321" i="18" s="1"/>
  <c r="V321" i="18" s="1"/>
  <c r="P313" i="18"/>
  <c r="Q313" i="18" s="1"/>
  <c r="U313" i="18" s="1"/>
  <c r="V313" i="18" s="1"/>
  <c r="P305" i="18"/>
  <c r="Q305" i="18" s="1"/>
  <c r="U305" i="18" s="1"/>
  <c r="V305" i="18" s="1"/>
  <c r="P297" i="18"/>
  <c r="Q297" i="18" s="1"/>
  <c r="U297" i="18" s="1"/>
  <c r="V297" i="18" s="1"/>
  <c r="P289" i="18"/>
  <c r="Q289" i="18" s="1"/>
  <c r="U289" i="18" s="1"/>
  <c r="V289" i="18" s="1"/>
  <c r="P281" i="18"/>
  <c r="Q281" i="18" s="1"/>
  <c r="U281" i="18" s="1"/>
  <c r="V281" i="18" s="1"/>
  <c r="P273" i="18"/>
  <c r="Q273" i="18" s="1"/>
  <c r="U273" i="18" s="1"/>
  <c r="V273" i="18" s="1"/>
  <c r="P265" i="18"/>
  <c r="Q265" i="18" s="1"/>
  <c r="U265" i="18" s="1"/>
  <c r="V265" i="18" s="1"/>
  <c r="P257" i="18"/>
  <c r="Q257" i="18" s="1"/>
  <c r="U257" i="18" s="1"/>
  <c r="V257" i="18" s="1"/>
  <c r="P249" i="18"/>
  <c r="Q249" i="18" s="1"/>
  <c r="U249" i="18" s="1"/>
  <c r="V249" i="18" s="1"/>
  <c r="P241" i="18"/>
  <c r="Q241" i="18" s="1"/>
  <c r="U241" i="18" s="1"/>
  <c r="V241" i="18" s="1"/>
  <c r="P233" i="18"/>
  <c r="Q233" i="18" s="1"/>
  <c r="U233" i="18" s="1"/>
  <c r="V233" i="18" s="1"/>
  <c r="P189" i="18"/>
  <c r="Q189" i="18" s="1"/>
  <c r="U189" i="18" s="1"/>
  <c r="T189" i="18" s="1"/>
  <c r="P165" i="18"/>
  <c r="Q165" i="18" s="1"/>
  <c r="U165" i="18" s="1"/>
  <c r="P153" i="18"/>
  <c r="Q153" i="18" s="1"/>
  <c r="U153" i="18" s="1"/>
  <c r="V153" i="18" s="1"/>
  <c r="P105" i="18"/>
  <c r="Q105" i="18" s="1"/>
  <c r="U105" i="18" s="1"/>
  <c r="P95" i="18"/>
  <c r="Q95" i="18" s="1"/>
  <c r="U95" i="18" s="1"/>
  <c r="T95" i="18" s="1"/>
  <c r="P417" i="18"/>
  <c r="Q417" i="18" s="1"/>
  <c r="U417" i="18" s="1"/>
  <c r="V417" i="18" s="1"/>
  <c r="P217" i="18"/>
  <c r="Q217" i="18" s="1"/>
  <c r="U217" i="18" s="1"/>
  <c r="V217" i="18" s="1"/>
  <c r="P169" i="18"/>
  <c r="Q169" i="18" s="1"/>
  <c r="U169" i="18" s="1"/>
  <c r="V169" i="18" s="1"/>
  <c r="P141" i="18"/>
  <c r="Q141" i="18" s="1"/>
  <c r="U141" i="18" s="1"/>
  <c r="V141" i="18" s="1"/>
  <c r="P125" i="18"/>
  <c r="Q125" i="18" s="1"/>
  <c r="U125" i="18" s="1"/>
  <c r="V125" i="18" s="1"/>
  <c r="P104" i="18"/>
  <c r="Q104" i="18" s="1"/>
  <c r="U104" i="18" s="1"/>
  <c r="V104" i="18" s="1"/>
  <c r="P77" i="18"/>
  <c r="Q77" i="18" s="1"/>
  <c r="U77" i="18" s="1"/>
  <c r="T77" i="18" s="1"/>
  <c r="P72" i="18"/>
  <c r="Q72" i="18" s="1"/>
  <c r="U72" i="18" s="1"/>
  <c r="P416" i="18"/>
  <c r="Q416" i="18" s="1"/>
  <c r="U416" i="18" s="1"/>
  <c r="V416" i="18" s="1"/>
  <c r="P413" i="18"/>
  <c r="Q413" i="18" s="1"/>
  <c r="U413" i="18" s="1"/>
  <c r="V413" i="18" s="1"/>
  <c r="P405" i="18"/>
  <c r="Q405" i="18" s="1"/>
  <c r="U405" i="18" s="1"/>
  <c r="V405" i="18" s="1"/>
  <c r="P397" i="18"/>
  <c r="Q397" i="18" s="1"/>
  <c r="U397" i="18" s="1"/>
  <c r="V397" i="18" s="1"/>
  <c r="P389" i="18"/>
  <c r="Q389" i="18" s="1"/>
  <c r="U389" i="18" s="1"/>
  <c r="V389" i="18" s="1"/>
  <c r="P381" i="18"/>
  <c r="Q381" i="18" s="1"/>
  <c r="U381" i="18" s="1"/>
  <c r="V381" i="18" s="1"/>
  <c r="P373" i="18"/>
  <c r="Q373" i="18" s="1"/>
  <c r="U373" i="18" s="1"/>
  <c r="V373" i="18" s="1"/>
  <c r="P365" i="18"/>
  <c r="Q365" i="18" s="1"/>
  <c r="U365" i="18" s="1"/>
  <c r="V365" i="18" s="1"/>
  <c r="P357" i="18"/>
  <c r="Q357" i="18" s="1"/>
  <c r="U357" i="18" s="1"/>
  <c r="V357" i="18" s="1"/>
  <c r="P349" i="18"/>
  <c r="Q349" i="18" s="1"/>
  <c r="U349" i="18" s="1"/>
  <c r="V349" i="18" s="1"/>
  <c r="P341" i="18"/>
  <c r="Q341" i="18" s="1"/>
  <c r="U341" i="18" s="1"/>
  <c r="V341" i="18" s="1"/>
  <c r="P333" i="18"/>
  <c r="Q333" i="18" s="1"/>
  <c r="U333" i="18" s="1"/>
  <c r="V333" i="18" s="1"/>
  <c r="P325" i="18"/>
  <c r="Q325" i="18" s="1"/>
  <c r="U325" i="18" s="1"/>
  <c r="V325" i="18" s="1"/>
  <c r="P317" i="18"/>
  <c r="Q317" i="18" s="1"/>
  <c r="U317" i="18" s="1"/>
  <c r="V317" i="18" s="1"/>
  <c r="P309" i="18"/>
  <c r="Q309" i="18" s="1"/>
  <c r="U309" i="18" s="1"/>
  <c r="V309" i="18" s="1"/>
  <c r="P301" i="18"/>
  <c r="Q301" i="18" s="1"/>
  <c r="U301" i="18" s="1"/>
  <c r="V301" i="18" s="1"/>
  <c r="P293" i="18"/>
  <c r="Q293" i="18" s="1"/>
  <c r="U293" i="18" s="1"/>
  <c r="V293" i="18" s="1"/>
  <c r="P285" i="18"/>
  <c r="Q285" i="18" s="1"/>
  <c r="U285" i="18" s="1"/>
  <c r="V285" i="18" s="1"/>
  <c r="P277" i="18"/>
  <c r="Q277" i="18" s="1"/>
  <c r="U277" i="18" s="1"/>
  <c r="V277" i="18" s="1"/>
  <c r="P269" i="18"/>
  <c r="Q269" i="18" s="1"/>
  <c r="U269" i="18" s="1"/>
  <c r="V269" i="18" s="1"/>
  <c r="P261" i="18"/>
  <c r="Q261" i="18" s="1"/>
  <c r="U261" i="18" s="1"/>
  <c r="V261" i="18" s="1"/>
  <c r="P253" i="18"/>
  <c r="Q253" i="18" s="1"/>
  <c r="U253" i="18" s="1"/>
  <c r="V253" i="18" s="1"/>
  <c r="P245" i="18"/>
  <c r="Q245" i="18" s="1"/>
  <c r="U245" i="18" s="1"/>
  <c r="V245" i="18" s="1"/>
  <c r="P237" i="18"/>
  <c r="Q237" i="18" s="1"/>
  <c r="U237" i="18" s="1"/>
  <c r="V237" i="18" s="1"/>
  <c r="P225" i="18"/>
  <c r="Q225" i="18" s="1"/>
  <c r="U225" i="18" s="1"/>
  <c r="V225" i="18" s="1"/>
  <c r="P209" i="18"/>
  <c r="Q209" i="18" s="1"/>
  <c r="U209" i="18" s="1"/>
  <c r="V209" i="18" s="1"/>
  <c r="P193" i="18"/>
  <c r="Q193" i="18" s="1"/>
  <c r="U193" i="18" s="1"/>
  <c r="V193" i="18" s="1"/>
  <c r="P177" i="18"/>
  <c r="Q177" i="18" s="1"/>
  <c r="U177" i="18" s="1"/>
  <c r="T177" i="18" s="1"/>
  <c r="P161" i="18"/>
  <c r="Q161" i="18" s="1"/>
  <c r="U161" i="18" s="1"/>
  <c r="P157" i="18"/>
  <c r="Q157" i="18" s="1"/>
  <c r="U157" i="18" s="1"/>
  <c r="V157" i="18" s="1"/>
  <c r="P117" i="18"/>
  <c r="Q117" i="18" s="1"/>
  <c r="U117" i="18" s="1"/>
  <c r="P96" i="18"/>
  <c r="Q96" i="18" s="1"/>
  <c r="U96" i="18" s="1"/>
  <c r="V96" i="18" s="1"/>
  <c r="P84" i="18"/>
  <c r="Q84" i="18" s="1"/>
  <c r="U84" i="18" s="1"/>
  <c r="P81" i="18"/>
  <c r="Q81" i="18" s="1"/>
  <c r="U81" i="18" s="1"/>
  <c r="T81" i="18" s="1"/>
  <c r="P79" i="18"/>
  <c r="Q79" i="18" s="1"/>
  <c r="U79" i="18" s="1"/>
  <c r="V79" i="18" s="1"/>
  <c r="P76" i="18"/>
  <c r="Q76" i="18" s="1"/>
  <c r="U76" i="18" s="1"/>
  <c r="V76" i="18" s="1"/>
  <c r="P415" i="18"/>
  <c r="Q415" i="18" s="1"/>
  <c r="U415" i="18" s="1"/>
  <c r="P411" i="18"/>
  <c r="Q411" i="18" s="1"/>
  <c r="U411" i="18" s="1"/>
  <c r="P407" i="18"/>
  <c r="Q407" i="18" s="1"/>
  <c r="U407" i="18" s="1"/>
  <c r="P403" i="18"/>
  <c r="Q403" i="18" s="1"/>
  <c r="U403" i="18" s="1"/>
  <c r="P399" i="18"/>
  <c r="Q399" i="18" s="1"/>
  <c r="U399" i="18" s="1"/>
  <c r="P395" i="18"/>
  <c r="Q395" i="18" s="1"/>
  <c r="U395" i="18" s="1"/>
  <c r="P391" i="18"/>
  <c r="Q391" i="18" s="1"/>
  <c r="U391" i="18" s="1"/>
  <c r="P387" i="18"/>
  <c r="Q387" i="18" s="1"/>
  <c r="U387" i="18" s="1"/>
  <c r="P383" i="18"/>
  <c r="Q383" i="18" s="1"/>
  <c r="U383" i="18" s="1"/>
  <c r="P379" i="18"/>
  <c r="Q379" i="18" s="1"/>
  <c r="U379" i="18" s="1"/>
  <c r="P375" i="18"/>
  <c r="Q375" i="18" s="1"/>
  <c r="U375" i="18" s="1"/>
  <c r="P371" i="18"/>
  <c r="Q371" i="18" s="1"/>
  <c r="U371" i="18" s="1"/>
  <c r="P367" i="18"/>
  <c r="Q367" i="18" s="1"/>
  <c r="U367" i="18" s="1"/>
  <c r="P363" i="18"/>
  <c r="Q363" i="18" s="1"/>
  <c r="U363" i="18" s="1"/>
  <c r="P359" i="18"/>
  <c r="Q359" i="18" s="1"/>
  <c r="U359" i="18" s="1"/>
  <c r="P355" i="18"/>
  <c r="Q355" i="18" s="1"/>
  <c r="U355" i="18" s="1"/>
  <c r="P351" i="18"/>
  <c r="Q351" i="18" s="1"/>
  <c r="U351" i="18" s="1"/>
  <c r="P347" i="18"/>
  <c r="Q347" i="18" s="1"/>
  <c r="U347" i="18" s="1"/>
  <c r="P343" i="18"/>
  <c r="Q343" i="18" s="1"/>
  <c r="U343" i="18" s="1"/>
  <c r="P339" i="18"/>
  <c r="Q339" i="18" s="1"/>
  <c r="U339" i="18" s="1"/>
  <c r="P335" i="18"/>
  <c r="Q335" i="18" s="1"/>
  <c r="U335" i="18" s="1"/>
  <c r="P331" i="18"/>
  <c r="Q331" i="18" s="1"/>
  <c r="U331" i="18" s="1"/>
  <c r="P327" i="18"/>
  <c r="Q327" i="18" s="1"/>
  <c r="U327" i="18" s="1"/>
  <c r="P323" i="18"/>
  <c r="Q323" i="18" s="1"/>
  <c r="U323" i="18" s="1"/>
  <c r="P319" i="18"/>
  <c r="Q319" i="18" s="1"/>
  <c r="U319" i="18" s="1"/>
  <c r="P315" i="18"/>
  <c r="Q315" i="18" s="1"/>
  <c r="U315" i="18" s="1"/>
  <c r="P311" i="18"/>
  <c r="Q311" i="18" s="1"/>
  <c r="U311" i="18" s="1"/>
  <c r="P307" i="18"/>
  <c r="Q307" i="18" s="1"/>
  <c r="U307" i="18" s="1"/>
  <c r="P303" i="18"/>
  <c r="Q303" i="18" s="1"/>
  <c r="U303" i="18" s="1"/>
  <c r="P299" i="18"/>
  <c r="Q299" i="18" s="1"/>
  <c r="U299" i="18" s="1"/>
  <c r="P295" i="18"/>
  <c r="Q295" i="18" s="1"/>
  <c r="U295" i="18" s="1"/>
  <c r="P291" i="18"/>
  <c r="Q291" i="18" s="1"/>
  <c r="U291" i="18" s="1"/>
  <c r="P287" i="18"/>
  <c r="Q287" i="18" s="1"/>
  <c r="U287" i="18" s="1"/>
  <c r="P283" i="18"/>
  <c r="Q283" i="18" s="1"/>
  <c r="U283" i="18" s="1"/>
  <c r="P279" i="18"/>
  <c r="Q279" i="18" s="1"/>
  <c r="U279" i="18" s="1"/>
  <c r="P275" i="18"/>
  <c r="Q275" i="18" s="1"/>
  <c r="U275" i="18" s="1"/>
  <c r="P271" i="18"/>
  <c r="Q271" i="18" s="1"/>
  <c r="U271" i="18" s="1"/>
  <c r="P267" i="18"/>
  <c r="Q267" i="18" s="1"/>
  <c r="U267" i="18" s="1"/>
  <c r="P263" i="18"/>
  <c r="Q263" i="18" s="1"/>
  <c r="U263" i="18" s="1"/>
  <c r="P259" i="18"/>
  <c r="Q259" i="18" s="1"/>
  <c r="U259" i="18" s="1"/>
  <c r="P255" i="18"/>
  <c r="Q255" i="18" s="1"/>
  <c r="U255" i="18" s="1"/>
  <c r="P251" i="18"/>
  <c r="Q251" i="18" s="1"/>
  <c r="U251" i="18" s="1"/>
  <c r="P247" i="18"/>
  <c r="Q247" i="18" s="1"/>
  <c r="U247" i="18" s="1"/>
  <c r="P243" i="18"/>
  <c r="Q243" i="18" s="1"/>
  <c r="U243" i="18" s="1"/>
  <c r="P239" i="18"/>
  <c r="Q239" i="18" s="1"/>
  <c r="U239" i="18" s="1"/>
  <c r="P235" i="18"/>
  <c r="Q235" i="18" s="1"/>
  <c r="U235" i="18" s="1"/>
  <c r="P231" i="18"/>
  <c r="Q231" i="18" s="1"/>
  <c r="U231" i="18" s="1"/>
  <c r="P219" i="18"/>
  <c r="Q219" i="18" s="1"/>
  <c r="U219" i="18" s="1"/>
  <c r="P199" i="18"/>
  <c r="Q199" i="18" s="1"/>
  <c r="U199" i="18" s="1"/>
  <c r="P183" i="18"/>
  <c r="Q183" i="18" s="1"/>
  <c r="U183" i="18" s="1"/>
  <c r="P175" i="18"/>
  <c r="Q175" i="18" s="1"/>
  <c r="U175" i="18" s="1"/>
  <c r="P108" i="18"/>
  <c r="Q108" i="18" s="1"/>
  <c r="U108" i="18" s="1"/>
  <c r="P78" i="18"/>
  <c r="Q78" i="18" s="1"/>
  <c r="U78" i="18" s="1"/>
  <c r="P68" i="18"/>
  <c r="Q68" i="18" s="1"/>
  <c r="U68" i="18" s="1"/>
  <c r="P64" i="18"/>
  <c r="Q64" i="18" s="1"/>
  <c r="U64" i="18" s="1"/>
  <c r="P60" i="18"/>
  <c r="Q60" i="18" s="1"/>
  <c r="U60" i="18" s="1"/>
  <c r="P56" i="18"/>
  <c r="Q56" i="18" s="1"/>
  <c r="U56" i="18" s="1"/>
  <c r="P52" i="18"/>
  <c r="Q52" i="18" s="1"/>
  <c r="U52" i="18" s="1"/>
  <c r="P48" i="18"/>
  <c r="Q48" i="18" s="1"/>
  <c r="U48" i="18" s="1"/>
  <c r="P44" i="18"/>
  <c r="Q44" i="18" s="1"/>
  <c r="U44" i="18" s="1"/>
  <c r="P40" i="18"/>
  <c r="Q40" i="18" s="1"/>
  <c r="U40" i="18" s="1"/>
  <c r="P37" i="18"/>
  <c r="Q37" i="18" s="1"/>
  <c r="U37" i="18" s="1"/>
  <c r="P33" i="18"/>
  <c r="Q33" i="18" s="1"/>
  <c r="U33" i="18" s="1"/>
  <c r="P29" i="18"/>
  <c r="Q29" i="18" s="1"/>
  <c r="U29" i="18" s="1"/>
  <c r="P227" i="18"/>
  <c r="Q227" i="18" s="1"/>
  <c r="U227" i="18" s="1"/>
  <c r="P223" i="18"/>
  <c r="Q223" i="18" s="1"/>
  <c r="U223" i="18" s="1"/>
  <c r="P215" i="18"/>
  <c r="Q215" i="18" s="1"/>
  <c r="U215" i="18" s="1"/>
  <c r="P211" i="18"/>
  <c r="Q211" i="18" s="1"/>
  <c r="U211" i="18" s="1"/>
  <c r="P207" i="18"/>
  <c r="Q207" i="18" s="1"/>
  <c r="U207" i="18" s="1"/>
  <c r="P203" i="18"/>
  <c r="Q203" i="18" s="1"/>
  <c r="U203" i="18" s="1"/>
  <c r="P195" i="18"/>
  <c r="Q195" i="18" s="1"/>
  <c r="U195" i="18" s="1"/>
  <c r="P191" i="18"/>
  <c r="Q191" i="18" s="1"/>
  <c r="U191" i="18" s="1"/>
  <c r="P187" i="18"/>
  <c r="Q187" i="18" s="1"/>
  <c r="U187" i="18" s="1"/>
  <c r="P179" i="18"/>
  <c r="Q179" i="18" s="1"/>
  <c r="U179" i="18" s="1"/>
  <c r="P171" i="18"/>
  <c r="Q171" i="18" s="1"/>
  <c r="U171" i="18" s="1"/>
  <c r="P167" i="18"/>
  <c r="Q167" i="18" s="1"/>
  <c r="U167" i="18" s="1"/>
  <c r="P163" i="18"/>
  <c r="Q163" i="18" s="1"/>
  <c r="U163" i="18" s="1"/>
  <c r="P151" i="18"/>
  <c r="Q151" i="18" s="1"/>
  <c r="U151" i="18" s="1"/>
  <c r="P143" i="18"/>
  <c r="Q143" i="18" s="1"/>
  <c r="U143" i="18" s="1"/>
  <c r="P135" i="18"/>
  <c r="Q135" i="18" s="1"/>
  <c r="U135" i="18" s="1"/>
  <c r="P127" i="18"/>
  <c r="Q127" i="18" s="1"/>
  <c r="U127" i="18" s="1"/>
  <c r="P123" i="18"/>
  <c r="Q123" i="18" s="1"/>
  <c r="U123" i="18" s="1"/>
  <c r="P115" i="18"/>
  <c r="Q115" i="18" s="1"/>
  <c r="U115" i="18" s="1"/>
  <c r="P111" i="18"/>
  <c r="Q111" i="18" s="1"/>
  <c r="U111" i="18" s="1"/>
  <c r="P70" i="18"/>
  <c r="Q70" i="18" s="1"/>
  <c r="U70" i="18" s="1"/>
  <c r="P159" i="18"/>
  <c r="Q159" i="18" s="1"/>
  <c r="U159" i="18" s="1"/>
  <c r="P155" i="18"/>
  <c r="Q155" i="18" s="1"/>
  <c r="U155" i="18" s="1"/>
  <c r="P147" i="18"/>
  <c r="Q147" i="18" s="1"/>
  <c r="U147" i="18" s="1"/>
  <c r="P139" i="18"/>
  <c r="Q139" i="18" s="1"/>
  <c r="U139" i="18" s="1"/>
  <c r="P131" i="18"/>
  <c r="Q131" i="18" s="1"/>
  <c r="U131" i="18" s="1"/>
  <c r="P119" i="18"/>
  <c r="Q119" i="18" s="1"/>
  <c r="U119" i="18" s="1"/>
  <c r="P102" i="18"/>
  <c r="Q102" i="18" s="1"/>
  <c r="U102" i="18" s="1"/>
  <c r="P94" i="18"/>
  <c r="Q94" i="18" s="1"/>
  <c r="U94" i="18" s="1"/>
  <c r="P66" i="18"/>
  <c r="Q66" i="18" s="1"/>
  <c r="U66" i="18" s="1"/>
  <c r="P62" i="18"/>
  <c r="Q62" i="18" s="1"/>
  <c r="U62" i="18" s="1"/>
  <c r="P58" i="18"/>
  <c r="Q58" i="18" s="1"/>
  <c r="U58" i="18" s="1"/>
  <c r="P54" i="18"/>
  <c r="Q54" i="18" s="1"/>
  <c r="U54" i="18" s="1"/>
  <c r="P50" i="18"/>
  <c r="Q50" i="18" s="1"/>
  <c r="U50" i="18" s="1"/>
  <c r="P46" i="18"/>
  <c r="Q46" i="18" s="1"/>
  <c r="U46" i="18" s="1"/>
  <c r="P42" i="18"/>
  <c r="Q42" i="18" s="1"/>
  <c r="U42" i="18" s="1"/>
  <c r="P38" i="18"/>
  <c r="Q38" i="18" s="1"/>
  <c r="U38" i="18" s="1"/>
  <c r="P35" i="18"/>
  <c r="Q35" i="18" s="1"/>
  <c r="U35" i="18" s="1"/>
  <c r="P31" i="18"/>
  <c r="Q31" i="18" s="1"/>
  <c r="U31" i="18" s="1"/>
  <c r="P17" i="18"/>
  <c r="Q17" i="18" s="1"/>
  <c r="U17" i="18" s="1"/>
  <c r="T17" i="18" s="1"/>
  <c r="P25" i="18"/>
  <c r="Q25" i="18" s="1"/>
  <c r="U25" i="18" s="1"/>
  <c r="T25" i="18" s="1"/>
  <c r="P27" i="18"/>
  <c r="Q27" i="18" s="1"/>
  <c r="U27" i="18" s="1"/>
  <c r="T27" i="18" s="1"/>
  <c r="P19" i="18"/>
  <c r="Q19" i="18" s="1"/>
  <c r="P23" i="18"/>
  <c r="Q23" i="18" s="1"/>
  <c r="U23" i="18" s="1"/>
  <c r="T23" i="18" s="1"/>
  <c r="P21" i="18"/>
  <c r="Q21" i="18" s="1"/>
  <c r="N8" i="18"/>
  <c r="T67" i="18" l="1"/>
  <c r="T63" i="18"/>
  <c r="V75" i="18"/>
  <c r="T107" i="18"/>
  <c r="V83" i="18"/>
  <c r="V59" i="18"/>
  <c r="V55" i="18"/>
  <c r="V91" i="18"/>
  <c r="V99" i="18"/>
  <c r="W15" i="18"/>
  <c r="W28" i="18"/>
  <c r="W30" i="18"/>
  <c r="W32" i="18"/>
  <c r="W34" i="18"/>
  <c r="W36" i="18"/>
  <c r="W38" i="18"/>
  <c r="W40" i="18"/>
  <c r="W42" i="18"/>
  <c r="W44" i="18"/>
  <c r="W46" i="18"/>
  <c r="W48" i="18"/>
  <c r="W50" i="18"/>
  <c r="W52" i="18"/>
  <c r="W54" i="18"/>
  <c r="W56" i="18"/>
  <c r="W58" i="18"/>
  <c r="W60" i="18"/>
  <c r="W62" i="18"/>
  <c r="W64" i="18"/>
  <c r="W66" i="18"/>
  <c r="W68" i="18"/>
  <c r="W70" i="18"/>
  <c r="W72" i="18"/>
  <c r="W74" i="18"/>
  <c r="W76" i="18"/>
  <c r="W78" i="18"/>
  <c r="W80" i="18"/>
  <c r="W82" i="18"/>
  <c r="W84" i="18"/>
  <c r="W86" i="18"/>
  <c r="W88" i="18"/>
  <c r="W90" i="18"/>
  <c r="W92" i="18"/>
  <c r="W94" i="18"/>
  <c r="W96" i="18"/>
  <c r="W98" i="18"/>
  <c r="W100" i="18"/>
  <c r="W102" i="18"/>
  <c r="W104" i="18"/>
  <c r="W106" i="18"/>
  <c r="W108" i="18"/>
  <c r="W110" i="18"/>
  <c r="W112" i="18"/>
  <c r="W114" i="18"/>
  <c r="W116" i="18"/>
  <c r="W118" i="18"/>
  <c r="W120" i="18"/>
  <c r="W122" i="18"/>
  <c r="W124" i="18"/>
  <c r="W126" i="18"/>
  <c r="W128" i="18"/>
  <c r="W29" i="18"/>
  <c r="W31" i="18"/>
  <c r="W33" i="18"/>
  <c r="W35" i="18"/>
  <c r="W37" i="18"/>
  <c r="W39" i="18"/>
  <c r="W41" i="18"/>
  <c r="W43" i="18"/>
  <c r="W45" i="18"/>
  <c r="W47" i="18"/>
  <c r="W49" i="18"/>
  <c r="W51" i="18"/>
  <c r="W53" i="18"/>
  <c r="W55" i="18"/>
  <c r="W57" i="18"/>
  <c r="W59" i="18"/>
  <c r="W61" i="18"/>
  <c r="W63" i="18"/>
  <c r="W65" i="18"/>
  <c r="W67" i="18"/>
  <c r="W69" i="18"/>
  <c r="W71" i="18"/>
  <c r="W73" i="18"/>
  <c r="W75" i="18"/>
  <c r="W77" i="18"/>
  <c r="W79" i="18"/>
  <c r="W81" i="18"/>
  <c r="W83" i="18"/>
  <c r="W85" i="18"/>
  <c r="W87" i="18"/>
  <c r="W89" i="18"/>
  <c r="W91" i="18"/>
  <c r="W93" i="18"/>
  <c r="W95" i="18"/>
  <c r="W97" i="18"/>
  <c r="W99" i="18"/>
  <c r="W101" i="18"/>
  <c r="W103" i="18"/>
  <c r="W105" i="18"/>
  <c r="W107" i="18"/>
  <c r="W109" i="18"/>
  <c r="W111" i="18"/>
  <c r="W113" i="18"/>
  <c r="W115" i="18"/>
  <c r="W117" i="18"/>
  <c r="W119" i="18"/>
  <c r="W121" i="18"/>
  <c r="W123" i="18"/>
  <c r="W125" i="18"/>
  <c r="W127" i="18"/>
  <c r="W129" i="18"/>
  <c r="W131" i="18"/>
  <c r="W133" i="18"/>
  <c r="W135" i="18"/>
  <c r="W132" i="18"/>
  <c r="W136" i="18"/>
  <c r="W138" i="18"/>
  <c r="W140" i="18"/>
  <c r="W142" i="18"/>
  <c r="W144" i="18"/>
  <c r="W146" i="18"/>
  <c r="W148" i="18"/>
  <c r="W150" i="18"/>
  <c r="W152" i="18"/>
  <c r="W154" i="18"/>
  <c r="W156" i="18"/>
  <c r="W158" i="18"/>
  <c r="W160" i="18"/>
  <c r="W162" i="18"/>
  <c r="W164" i="18"/>
  <c r="W166" i="18"/>
  <c r="W168" i="18"/>
  <c r="W170" i="18"/>
  <c r="W172" i="18"/>
  <c r="W174" i="18"/>
  <c r="W176" i="18"/>
  <c r="W178" i="18"/>
  <c r="W180" i="18"/>
  <c r="W182" i="18"/>
  <c r="W184" i="18"/>
  <c r="W186" i="18"/>
  <c r="W188" i="18"/>
  <c r="W190" i="18"/>
  <c r="W192" i="18"/>
  <c r="W194" i="18"/>
  <c r="W196" i="18"/>
  <c r="W198" i="18"/>
  <c r="W200" i="18"/>
  <c r="W202" i="18"/>
  <c r="W204" i="18"/>
  <c r="W206" i="18"/>
  <c r="W208" i="18"/>
  <c r="W210" i="18"/>
  <c r="W212" i="18"/>
  <c r="W214" i="18"/>
  <c r="W216" i="18"/>
  <c r="W218" i="18"/>
  <c r="W220" i="18"/>
  <c r="W222" i="18"/>
  <c r="W224" i="18"/>
  <c r="W226" i="18"/>
  <c r="W228" i="18"/>
  <c r="W230" i="18"/>
  <c r="W232" i="18"/>
  <c r="W234" i="18"/>
  <c r="W236" i="18"/>
  <c r="W238" i="18"/>
  <c r="W240" i="18"/>
  <c r="W242" i="18"/>
  <c r="W244" i="18"/>
  <c r="W246" i="18"/>
  <c r="W248" i="18"/>
  <c r="W250" i="18"/>
  <c r="W252" i="18"/>
  <c r="W254" i="18"/>
  <c r="W256" i="18"/>
  <c r="W258" i="18"/>
  <c r="W260" i="18"/>
  <c r="W262" i="18"/>
  <c r="W264" i="18"/>
  <c r="W266" i="18"/>
  <c r="W268" i="18"/>
  <c r="W270" i="18"/>
  <c r="W272" i="18"/>
  <c r="W274" i="18"/>
  <c r="W276" i="18"/>
  <c r="W278" i="18"/>
  <c r="W280" i="18"/>
  <c r="W282" i="18"/>
  <c r="W284" i="18"/>
  <c r="W286" i="18"/>
  <c r="W288" i="18"/>
  <c r="W290" i="18"/>
  <c r="W292" i="18"/>
  <c r="W294" i="18"/>
  <c r="W296" i="18"/>
  <c r="W298" i="18"/>
  <c r="W300" i="18"/>
  <c r="W302" i="18"/>
  <c r="W130" i="18"/>
  <c r="W134" i="18"/>
  <c r="W137" i="18"/>
  <c r="W139" i="18"/>
  <c r="W141" i="18"/>
  <c r="W143" i="18"/>
  <c r="W145" i="18"/>
  <c r="W147" i="18"/>
  <c r="W149" i="18"/>
  <c r="W151" i="18"/>
  <c r="W153" i="18"/>
  <c r="W155" i="18"/>
  <c r="W157" i="18"/>
  <c r="W159" i="18"/>
  <c r="W161" i="18"/>
  <c r="W163" i="18"/>
  <c r="W165" i="18"/>
  <c r="W167" i="18"/>
  <c r="W169" i="18"/>
  <c r="W171" i="18"/>
  <c r="W173" i="18"/>
  <c r="W175" i="18"/>
  <c r="W177" i="18"/>
  <c r="W179" i="18"/>
  <c r="W181" i="18"/>
  <c r="W183" i="18"/>
  <c r="W185" i="18"/>
  <c r="W187" i="18"/>
  <c r="W189" i="18"/>
  <c r="W191" i="18"/>
  <c r="W193" i="18"/>
  <c r="W195" i="18"/>
  <c r="W197" i="18"/>
  <c r="W199" i="18"/>
  <c r="W201" i="18"/>
  <c r="W203" i="18"/>
  <c r="W205" i="18"/>
  <c r="W207" i="18"/>
  <c r="W209" i="18"/>
  <c r="W211" i="18"/>
  <c r="W213" i="18"/>
  <c r="W215" i="18"/>
  <c r="W217" i="18"/>
  <c r="W219" i="18"/>
  <c r="W221" i="18"/>
  <c r="W223" i="18"/>
  <c r="W225" i="18"/>
  <c r="W227" i="18"/>
  <c r="W229" i="18"/>
  <c r="W231" i="18"/>
  <c r="W233" i="18"/>
  <c r="W235" i="18"/>
  <c r="W237" i="18"/>
  <c r="W239" i="18"/>
  <c r="W241" i="18"/>
  <c r="W243" i="18"/>
  <c r="W245" i="18"/>
  <c r="W247" i="18"/>
  <c r="W249" i="18"/>
  <c r="W251" i="18"/>
  <c r="W253" i="18"/>
  <c r="W255" i="18"/>
  <c r="W257" i="18"/>
  <c r="W259" i="18"/>
  <c r="W261" i="18"/>
  <c r="W263" i="18"/>
  <c r="W265" i="18"/>
  <c r="W267" i="18"/>
  <c r="W269" i="18"/>
  <c r="W271" i="18"/>
  <c r="W273" i="18"/>
  <c r="W275" i="18"/>
  <c r="W277" i="18"/>
  <c r="W279" i="18"/>
  <c r="W281" i="18"/>
  <c r="W283" i="18"/>
  <c r="W285" i="18"/>
  <c r="W287" i="18"/>
  <c r="W289" i="18"/>
  <c r="W291" i="18"/>
  <c r="W293" i="18"/>
  <c r="W295" i="18"/>
  <c r="W297" i="18"/>
  <c r="W299" i="18"/>
  <c r="W301" i="18"/>
  <c r="W303" i="18"/>
  <c r="W305" i="18"/>
  <c r="W307" i="18"/>
  <c r="W309" i="18"/>
  <c r="W306" i="18"/>
  <c r="W310" i="18"/>
  <c r="W312" i="18"/>
  <c r="W314" i="18"/>
  <c r="W316" i="18"/>
  <c r="W318" i="18"/>
  <c r="W320" i="18"/>
  <c r="W322" i="18"/>
  <c r="W324" i="18"/>
  <c r="W326" i="18"/>
  <c r="W328" i="18"/>
  <c r="W330" i="18"/>
  <c r="W332" i="18"/>
  <c r="W334" i="18"/>
  <c r="W336" i="18"/>
  <c r="W338" i="18"/>
  <c r="W340" i="18"/>
  <c r="W342" i="18"/>
  <c r="W344" i="18"/>
  <c r="W346" i="18"/>
  <c r="W348" i="18"/>
  <c r="W350" i="18"/>
  <c r="W352" i="18"/>
  <c r="W354" i="18"/>
  <c r="W356" i="18"/>
  <c r="W358" i="18"/>
  <c r="W360" i="18"/>
  <c r="W362" i="18"/>
  <c r="W364" i="18"/>
  <c r="W366" i="18"/>
  <c r="W368" i="18"/>
  <c r="W370" i="18"/>
  <c r="W372" i="18"/>
  <c r="W374" i="18"/>
  <c r="W376" i="18"/>
  <c r="W378" i="18"/>
  <c r="W380" i="18"/>
  <c r="W382" i="18"/>
  <c r="W384" i="18"/>
  <c r="W386" i="18"/>
  <c r="W388" i="18"/>
  <c r="W390" i="18"/>
  <c r="W392" i="18"/>
  <c r="W394" i="18"/>
  <c r="W396" i="18"/>
  <c r="W398" i="18"/>
  <c r="W400" i="18"/>
  <c r="W402" i="18"/>
  <c r="W404" i="18"/>
  <c r="W406" i="18"/>
  <c r="W408" i="18"/>
  <c r="W410" i="18"/>
  <c r="W412" i="18"/>
  <c r="W414" i="18"/>
  <c r="W416" i="18"/>
  <c r="W418" i="18"/>
  <c r="W16" i="18"/>
  <c r="W18" i="18"/>
  <c r="W19" i="18"/>
  <c r="W25" i="18"/>
  <c r="W304" i="18"/>
  <c r="W308" i="18"/>
  <c r="W311" i="18"/>
  <c r="W313" i="18"/>
  <c r="W315" i="18"/>
  <c r="W317" i="18"/>
  <c r="W319" i="18"/>
  <c r="W321" i="18"/>
  <c r="W323" i="18"/>
  <c r="W325" i="18"/>
  <c r="W327" i="18"/>
  <c r="W329" i="18"/>
  <c r="W331" i="18"/>
  <c r="W333" i="18"/>
  <c r="W335" i="18"/>
  <c r="W337" i="18"/>
  <c r="W339" i="18"/>
  <c r="W341" i="18"/>
  <c r="W343" i="18"/>
  <c r="W345" i="18"/>
  <c r="W347" i="18"/>
  <c r="W349" i="18"/>
  <c r="W351" i="18"/>
  <c r="W353" i="18"/>
  <c r="W355" i="18"/>
  <c r="W357" i="18"/>
  <c r="W359" i="18"/>
  <c r="W361" i="18"/>
  <c r="W363" i="18"/>
  <c r="W365" i="18"/>
  <c r="W367" i="18"/>
  <c r="W369" i="18"/>
  <c r="W371" i="18"/>
  <c r="W373" i="18"/>
  <c r="W375" i="18"/>
  <c r="W377" i="18"/>
  <c r="W379" i="18"/>
  <c r="W381" i="18"/>
  <c r="W383" i="18"/>
  <c r="W385" i="18"/>
  <c r="W387" i="18"/>
  <c r="W389" i="18"/>
  <c r="W391" i="18"/>
  <c r="W393" i="18"/>
  <c r="W395" i="18"/>
  <c r="W397" i="18"/>
  <c r="W399" i="18"/>
  <c r="W401" i="18"/>
  <c r="W403" i="18"/>
  <c r="W405" i="18"/>
  <c r="W407" i="18"/>
  <c r="W409" i="18"/>
  <c r="W411" i="18"/>
  <c r="W413" i="18"/>
  <c r="W415" i="18"/>
  <c r="W417" i="18"/>
  <c r="W419" i="18"/>
  <c r="W17" i="18"/>
  <c r="W20" i="18"/>
  <c r="W24" i="18"/>
  <c r="W26" i="18"/>
  <c r="W21" i="18"/>
  <c r="W22" i="18"/>
  <c r="W23" i="18"/>
  <c r="W27" i="18"/>
  <c r="V88" i="18"/>
  <c r="T100" i="18"/>
  <c r="T80" i="18"/>
  <c r="T20" i="18"/>
  <c r="V116" i="18"/>
  <c r="V132" i="18"/>
  <c r="T140" i="18"/>
  <c r="V148" i="18"/>
  <c r="T124" i="18"/>
  <c r="T136" i="18"/>
  <c r="T92" i="18"/>
  <c r="T128" i="18"/>
  <c r="V112" i="18"/>
  <c r="T144" i="18"/>
  <c r="T120" i="18"/>
  <c r="V150" i="18"/>
  <c r="V250" i="18"/>
  <c r="V28" i="18"/>
  <c r="T282" i="18"/>
  <c r="V134" i="18"/>
  <c r="T336" i="18"/>
  <c r="T97" i="18"/>
  <c r="T366" i="18"/>
  <c r="T230" i="18"/>
  <c r="T266" i="18"/>
  <c r="V398" i="18"/>
  <c r="T334" i="18"/>
  <c r="V354" i="18"/>
  <c r="T236" i="18"/>
  <c r="T288" i="18"/>
  <c r="T340" i="18"/>
  <c r="T292" i="18"/>
  <c r="T24" i="18"/>
  <c r="T404" i="18"/>
  <c r="V154" i="18"/>
  <c r="T270" i="18"/>
  <c r="T224" i="18"/>
  <c r="V238" i="18"/>
  <c r="T348" i="18"/>
  <c r="V45" i="18"/>
  <c r="V204" i="18"/>
  <c r="T390" i="18"/>
  <c r="V98" i="18"/>
  <c r="T356" i="18"/>
  <c r="T47" i="18"/>
  <c r="V254" i="18"/>
  <c r="V286" i="18"/>
  <c r="V234" i="18"/>
  <c r="V290" i="18"/>
  <c r="V386" i="18"/>
  <c r="V218" i="18"/>
  <c r="T106" i="18"/>
  <c r="T324" i="18"/>
  <c r="T372" i="18"/>
  <c r="T228" i="18"/>
  <c r="T138" i="18"/>
  <c r="V170" i="18"/>
  <c r="V122" i="18"/>
  <c r="V322" i="18"/>
  <c r="V402" i="18"/>
  <c r="T388" i="18"/>
  <c r="V338" i="18"/>
  <c r="V358" i="18"/>
  <c r="V89" i="18"/>
  <c r="T51" i="18"/>
  <c r="V274" i="18"/>
  <c r="T22" i="18"/>
  <c r="V181" i="18"/>
  <c r="T160" i="18"/>
  <c r="T74" i="18"/>
  <c r="T242" i="18"/>
  <c r="T258" i="18"/>
  <c r="V374" i="18"/>
  <c r="V32" i="18"/>
  <c r="T344" i="18"/>
  <c r="V126" i="18"/>
  <c r="V36" i="18"/>
  <c r="T180" i="18"/>
  <c r="V394" i="18"/>
  <c r="V26" i="18"/>
  <c r="T304" i="18"/>
  <c r="T39" i="18"/>
  <c r="T233" i="18"/>
  <c r="T368" i="18"/>
  <c r="V246" i="18"/>
  <c r="V262" i="18"/>
  <c r="V278" i="18"/>
  <c r="V302" i="18"/>
  <c r="V414" i="18"/>
  <c r="V182" i="18"/>
  <c r="T90" i="18"/>
  <c r="V82" i="18"/>
  <c r="T308" i="18"/>
  <c r="T400" i="18"/>
  <c r="T208" i="18"/>
  <c r="T264" i="18"/>
  <c r="V306" i="18"/>
  <c r="V370" i="18"/>
  <c r="T382" i="18"/>
  <c r="V202" i="18"/>
  <c r="T196" i="18"/>
  <c r="V362" i="18"/>
  <c r="V162" i="18"/>
  <c r="V166" i="18"/>
  <c r="V43" i="18"/>
  <c r="T248" i="18"/>
  <c r="T384" i="18"/>
  <c r="T412" i="18"/>
  <c r="T184" i="18"/>
  <c r="T220" i="18"/>
  <c r="T93" i="18"/>
  <c r="T168" i="18"/>
  <c r="T332" i="18"/>
  <c r="T232" i="18"/>
  <c r="V318" i="18"/>
  <c r="V350" i="18"/>
  <c r="T152" i="18"/>
  <c r="V330" i="18"/>
  <c r="T418" i="18"/>
  <c r="V214" i="18"/>
  <c r="V146" i="18"/>
  <c r="T130" i="18"/>
  <c r="V65" i="18"/>
  <c r="T216" i="18"/>
  <c r="V118" i="18"/>
  <c r="V164" i="18"/>
  <c r="T280" i="18"/>
  <c r="T320" i="18"/>
  <c r="T352" i="18"/>
  <c r="T200" i="18"/>
  <c r="V298" i="18"/>
  <c r="V49" i="18"/>
  <c r="T256" i="18"/>
  <c r="T296" i="18"/>
  <c r="T312" i="18"/>
  <c r="T328" i="18"/>
  <c r="T376" i="18"/>
  <c r="T392" i="18"/>
  <c r="T408" i="18"/>
  <c r="T419" i="18"/>
  <c r="V294" i="18"/>
  <c r="V310" i="18"/>
  <c r="V326" i="18"/>
  <c r="V342" i="18"/>
  <c r="V158" i="18"/>
  <c r="T272" i="18"/>
  <c r="T300" i="18"/>
  <c r="T316" i="18"/>
  <c r="T360" i="18"/>
  <c r="T380" i="18"/>
  <c r="T396" i="18"/>
  <c r="T176" i="18"/>
  <c r="T192" i="18"/>
  <c r="V213" i="18"/>
  <c r="T212" i="18"/>
  <c r="V314" i="18"/>
  <c r="V346" i="18"/>
  <c r="V378" i="18"/>
  <c r="V410" i="18"/>
  <c r="V406" i="18"/>
  <c r="V142" i="18"/>
  <c r="V190" i="18"/>
  <c r="V174" i="18"/>
  <c r="V114" i="18"/>
  <c r="V226" i="18"/>
  <c r="V222" i="18"/>
  <c r="T244" i="18"/>
  <c r="T364" i="18"/>
  <c r="V194" i="18"/>
  <c r="V210" i="18"/>
  <c r="V206" i="18"/>
  <c r="V178" i="18"/>
  <c r="T188" i="18"/>
  <c r="T156" i="18"/>
  <c r="V53" i="18"/>
  <c r="V61" i="18"/>
  <c r="T260" i="18"/>
  <c r="T101" i="18"/>
  <c r="T172" i="18"/>
  <c r="T276" i="18"/>
  <c r="T289" i="18"/>
  <c r="V69" i="18"/>
  <c r="T245" i="18"/>
  <c r="T252" i="18"/>
  <c r="T110" i="18"/>
  <c r="T268" i="18"/>
  <c r="V41" i="18"/>
  <c r="T87" i="18"/>
  <c r="T284" i="18"/>
  <c r="T240" i="18"/>
  <c r="V57" i="18"/>
  <c r="T409" i="18"/>
  <c r="T205" i="18"/>
  <c r="T281" i="18"/>
  <c r="T71" i="18"/>
  <c r="T169" i="18"/>
  <c r="T321" i="18"/>
  <c r="T257" i="18"/>
  <c r="T353" i="18"/>
  <c r="T416" i="18"/>
  <c r="T103" i="18"/>
  <c r="V16" i="18"/>
  <c r="T85" i="18"/>
  <c r="T79" i="18"/>
  <c r="T141" i="18"/>
  <c r="V229" i="18"/>
  <c r="T129" i="18"/>
  <c r="T193" i="18"/>
  <c r="V77" i="18"/>
  <c r="V30" i="18"/>
  <c r="V34" i="18"/>
  <c r="T18" i="18"/>
  <c r="T365" i="18"/>
  <c r="T385" i="18"/>
  <c r="V201" i="18"/>
  <c r="T269" i="18"/>
  <c r="T309" i="18"/>
  <c r="T341" i="18"/>
  <c r="T373" i="18"/>
  <c r="T185" i="18"/>
  <c r="T76" i="18"/>
  <c r="V177" i="18"/>
  <c r="T333" i="18"/>
  <c r="T96" i="18"/>
  <c r="T405" i="18"/>
  <c r="V189" i="18"/>
  <c r="V109" i="18"/>
  <c r="T237" i="18"/>
  <c r="T277" i="18"/>
  <c r="T313" i="18"/>
  <c r="T345" i="18"/>
  <c r="T197" i="18"/>
  <c r="T133" i="18"/>
  <c r="T417" i="18"/>
  <c r="T389" i="18"/>
  <c r="T121" i="18"/>
  <c r="T361" i="18"/>
  <c r="T173" i="18"/>
  <c r="T217" i="18"/>
  <c r="T265" i="18"/>
  <c r="V113" i="18"/>
  <c r="T113" i="18"/>
  <c r="T137" i="18"/>
  <c r="T104" i="18"/>
  <c r="T221" i="18"/>
  <c r="T297" i="18"/>
  <c r="T225" i="18"/>
  <c r="V73" i="18"/>
  <c r="T145" i="18"/>
  <c r="V86" i="18"/>
  <c r="T86" i="18"/>
  <c r="T153" i="18"/>
  <c r="V81" i="18"/>
  <c r="T397" i="18"/>
  <c r="T249" i="18"/>
  <c r="T301" i="18"/>
  <c r="T329" i="18"/>
  <c r="T377" i="18"/>
  <c r="T125" i="18"/>
  <c r="T381" i="18"/>
  <c r="T253" i="18"/>
  <c r="T285" i="18"/>
  <c r="T317" i="18"/>
  <c r="T349" i="18"/>
  <c r="V84" i="18"/>
  <c r="T84" i="18"/>
  <c r="V161" i="18"/>
  <c r="T161" i="18"/>
  <c r="T105" i="18"/>
  <c r="V105" i="18"/>
  <c r="V165" i="18"/>
  <c r="T165" i="18"/>
  <c r="V149" i="18"/>
  <c r="T149" i="18"/>
  <c r="V95" i="18"/>
  <c r="T157" i="18"/>
  <c r="T209" i="18"/>
  <c r="T241" i="18"/>
  <c r="T273" i="18"/>
  <c r="T305" i="18"/>
  <c r="T337" i="18"/>
  <c r="T369" i="18"/>
  <c r="T401" i="18"/>
  <c r="V72" i="18"/>
  <c r="T72" i="18"/>
  <c r="T393" i="18"/>
  <c r="T413" i="18"/>
  <c r="T261" i="18"/>
  <c r="T293" i="18"/>
  <c r="T325" i="18"/>
  <c r="T357" i="18"/>
  <c r="V117" i="18"/>
  <c r="T117" i="18"/>
  <c r="V25" i="18"/>
  <c r="V27" i="18"/>
  <c r="T54" i="18"/>
  <c r="V54" i="18"/>
  <c r="T139" i="18"/>
  <c r="V139" i="18"/>
  <c r="T127" i="18"/>
  <c r="V127" i="18"/>
  <c r="T195" i="18"/>
  <c r="V195" i="18"/>
  <c r="V68" i="18"/>
  <c r="T68" i="18"/>
  <c r="V247" i="18"/>
  <c r="T247" i="18"/>
  <c r="V263" i="18"/>
  <c r="T263" i="18"/>
  <c r="V311" i="18"/>
  <c r="T311" i="18"/>
  <c r="V359" i="18"/>
  <c r="T359" i="18"/>
  <c r="V375" i="18"/>
  <c r="T375" i="18"/>
  <c r="V102" i="18"/>
  <c r="T102" i="18"/>
  <c r="T147" i="18"/>
  <c r="V147" i="18"/>
  <c r="T167" i="18"/>
  <c r="V167" i="18"/>
  <c r="T179" i="18"/>
  <c r="V179" i="18"/>
  <c r="T223" i="18"/>
  <c r="V223" i="18"/>
  <c r="T40" i="18"/>
  <c r="V40" i="18"/>
  <c r="T46" i="18"/>
  <c r="V46" i="18"/>
  <c r="T62" i="18"/>
  <c r="V62" i="18"/>
  <c r="T155" i="18"/>
  <c r="V155" i="18"/>
  <c r="T115" i="18"/>
  <c r="V115" i="18"/>
  <c r="T143" i="18"/>
  <c r="V143" i="18"/>
  <c r="T187" i="18"/>
  <c r="V187" i="18"/>
  <c r="T207" i="18"/>
  <c r="V207" i="18"/>
  <c r="T227" i="18"/>
  <c r="V227" i="18"/>
  <c r="T44" i="18"/>
  <c r="V44" i="18"/>
  <c r="T60" i="18"/>
  <c r="V60" i="18"/>
  <c r="T183" i="18"/>
  <c r="V183" i="18"/>
  <c r="V239" i="18"/>
  <c r="T239" i="18"/>
  <c r="V271" i="18"/>
  <c r="T271" i="18"/>
  <c r="V287" i="18"/>
  <c r="T287" i="18"/>
  <c r="V303" i="18"/>
  <c r="T303" i="18"/>
  <c r="V335" i="18"/>
  <c r="T335" i="18"/>
  <c r="V351" i="18"/>
  <c r="T351" i="18"/>
  <c r="V367" i="18"/>
  <c r="T367" i="18"/>
  <c r="V383" i="18"/>
  <c r="T383" i="18"/>
  <c r="V399" i="18"/>
  <c r="T399" i="18"/>
  <c r="T31" i="18"/>
  <c r="V31" i="18"/>
  <c r="T50" i="18"/>
  <c r="V50" i="18"/>
  <c r="T66" i="18"/>
  <c r="V66" i="18"/>
  <c r="T131" i="18"/>
  <c r="V131" i="18"/>
  <c r="T159" i="18"/>
  <c r="V159" i="18"/>
  <c r="T123" i="18"/>
  <c r="V123" i="18"/>
  <c r="T151" i="18"/>
  <c r="V151" i="18"/>
  <c r="T191" i="18"/>
  <c r="V191" i="18"/>
  <c r="T211" i="18"/>
  <c r="V211" i="18"/>
  <c r="T29" i="18"/>
  <c r="V29" i="18"/>
  <c r="T48" i="18"/>
  <c r="V48" i="18"/>
  <c r="T64" i="18"/>
  <c r="V64" i="18"/>
  <c r="V78" i="18"/>
  <c r="T78" i="18"/>
  <c r="T199" i="18"/>
  <c r="V199" i="18"/>
  <c r="V243" i="18"/>
  <c r="T243" i="18"/>
  <c r="V259" i="18"/>
  <c r="T259" i="18"/>
  <c r="V275" i="18"/>
  <c r="T275" i="18"/>
  <c r="V291" i="18"/>
  <c r="T291" i="18"/>
  <c r="V307" i="18"/>
  <c r="T307" i="18"/>
  <c r="V323" i="18"/>
  <c r="T323" i="18"/>
  <c r="V339" i="18"/>
  <c r="T339" i="18"/>
  <c r="V355" i="18"/>
  <c r="T355" i="18"/>
  <c r="V371" i="18"/>
  <c r="T371" i="18"/>
  <c r="V387" i="18"/>
  <c r="T387" i="18"/>
  <c r="V403" i="18"/>
  <c r="T403" i="18"/>
  <c r="V94" i="18"/>
  <c r="T94" i="18"/>
  <c r="T163" i="18"/>
  <c r="V163" i="18"/>
  <c r="T215" i="18"/>
  <c r="V215" i="18"/>
  <c r="T52" i="18"/>
  <c r="V52" i="18"/>
  <c r="T219" i="18"/>
  <c r="V219" i="18"/>
  <c r="V295" i="18"/>
  <c r="T295" i="18"/>
  <c r="V327" i="18"/>
  <c r="T327" i="18"/>
  <c r="V391" i="18"/>
  <c r="T391" i="18"/>
  <c r="T42" i="18"/>
  <c r="V42" i="18"/>
  <c r="T135" i="18"/>
  <c r="V135" i="18"/>
  <c r="T37" i="18"/>
  <c r="V37" i="18"/>
  <c r="T56" i="18"/>
  <c r="V56" i="18"/>
  <c r="T175" i="18"/>
  <c r="V175" i="18"/>
  <c r="T231" i="18"/>
  <c r="V231" i="18"/>
  <c r="V235" i="18"/>
  <c r="T235" i="18"/>
  <c r="V251" i="18"/>
  <c r="T251" i="18"/>
  <c r="V267" i="18"/>
  <c r="T267" i="18"/>
  <c r="V283" i="18"/>
  <c r="T283" i="18"/>
  <c r="V299" i="18"/>
  <c r="T299" i="18"/>
  <c r="V315" i="18"/>
  <c r="T315" i="18"/>
  <c r="V331" i="18"/>
  <c r="T331" i="18"/>
  <c r="V347" i="18"/>
  <c r="T347" i="18"/>
  <c r="V363" i="18"/>
  <c r="T363" i="18"/>
  <c r="V379" i="18"/>
  <c r="T379" i="18"/>
  <c r="V395" i="18"/>
  <c r="T395" i="18"/>
  <c r="V411" i="18"/>
  <c r="T411" i="18"/>
  <c r="T35" i="18"/>
  <c r="V35" i="18"/>
  <c r="T38" i="18"/>
  <c r="V38" i="18"/>
  <c r="V70" i="18"/>
  <c r="T70" i="18"/>
  <c r="T33" i="18"/>
  <c r="V33" i="18"/>
  <c r="V108" i="18"/>
  <c r="T108" i="18"/>
  <c r="V279" i="18"/>
  <c r="T279" i="18"/>
  <c r="V343" i="18"/>
  <c r="T343" i="18"/>
  <c r="V407" i="18"/>
  <c r="T407" i="18"/>
  <c r="T58" i="18"/>
  <c r="V58" i="18"/>
  <c r="T111" i="18"/>
  <c r="V111" i="18"/>
  <c r="T203" i="18"/>
  <c r="V203" i="18"/>
  <c r="T119" i="18"/>
  <c r="V119" i="18"/>
  <c r="T171" i="18"/>
  <c r="V171" i="18"/>
  <c r="V255" i="18"/>
  <c r="T255" i="18"/>
  <c r="V319" i="18"/>
  <c r="T319" i="18"/>
  <c r="V415" i="18"/>
  <c r="T415" i="18"/>
  <c r="V17" i="18"/>
  <c r="V23" i="18"/>
  <c r="O15" i="18"/>
  <c r="R15" i="18"/>
  <c r="N15" i="18"/>
  <c r="L52" i="17"/>
  <c r="P15" i="18" l="1"/>
  <c r="Q15" i="18" s="1"/>
  <c r="U15" i="18" s="1"/>
  <c r="AE7" i="3"/>
  <c r="AE8" i="3"/>
  <c r="Y8" i="3" s="1"/>
  <c r="AE9" i="3"/>
  <c r="Y9" i="3" s="1"/>
  <c r="AE10" i="3"/>
  <c r="Y10" i="3" s="1"/>
  <c r="AE11" i="3"/>
  <c r="AE12" i="3"/>
  <c r="Y12" i="3" s="1"/>
  <c r="AE13" i="3"/>
  <c r="Y13" i="3" s="1"/>
  <c r="AE14" i="3"/>
  <c r="Y14" i="3" s="1"/>
  <c r="AE15" i="3"/>
  <c r="AE16" i="3"/>
  <c r="Y16" i="3" s="1"/>
  <c r="AE17" i="3"/>
  <c r="Y17" i="3" s="1"/>
  <c r="AE18" i="3"/>
  <c r="Y18" i="3" s="1"/>
  <c r="AE19" i="3"/>
  <c r="AE20" i="3"/>
  <c r="AE21" i="3"/>
  <c r="Y21" i="3" s="1"/>
  <c r="AE22" i="3"/>
  <c r="Y22" i="3" s="1"/>
  <c r="AE23" i="3"/>
  <c r="AE24" i="3"/>
  <c r="Y24" i="3" s="1"/>
  <c r="AE25" i="3"/>
  <c r="Y25" i="3" s="1"/>
  <c r="AE26" i="3"/>
  <c r="Y26" i="3" s="1"/>
  <c r="AE27" i="3"/>
  <c r="AE28" i="3"/>
  <c r="AE29" i="3"/>
  <c r="Y29" i="3" s="1"/>
  <c r="AE30" i="3"/>
  <c r="Y30" i="3" s="1"/>
  <c r="AE31" i="3"/>
  <c r="AE32" i="3"/>
  <c r="Y32" i="3" s="1"/>
  <c r="AE33" i="3"/>
  <c r="Y33" i="3" s="1"/>
  <c r="AE34" i="3"/>
  <c r="Y34" i="3" s="1"/>
  <c r="AE35" i="3"/>
  <c r="AE36" i="3"/>
  <c r="Y36" i="3" s="1"/>
  <c r="AE37" i="3"/>
  <c r="Y37" i="3" s="1"/>
  <c r="AE38" i="3"/>
  <c r="Y38" i="3" s="1"/>
  <c r="AE39" i="3"/>
  <c r="AE40" i="3"/>
  <c r="Y40" i="3" s="1"/>
  <c r="AE41" i="3"/>
  <c r="Y41" i="3" s="1"/>
  <c r="AE42" i="3"/>
  <c r="Y42" i="3" s="1"/>
  <c r="AE43" i="3"/>
  <c r="AE44" i="3"/>
  <c r="Y44" i="3" s="1"/>
  <c r="AE45" i="3"/>
  <c r="Y45" i="3" s="1"/>
  <c r="AE46" i="3"/>
  <c r="Y46" i="3" s="1"/>
  <c r="AE47" i="3"/>
  <c r="AE48" i="3"/>
  <c r="Y48" i="3" s="1"/>
  <c r="AE49" i="3"/>
  <c r="Y49" i="3" s="1"/>
  <c r="AE50" i="3"/>
  <c r="Y50" i="3" s="1"/>
  <c r="AE51" i="3"/>
  <c r="AE52" i="3"/>
  <c r="AE53" i="3"/>
  <c r="Y53" i="3" s="1"/>
  <c r="AE54" i="3"/>
  <c r="Y54" i="3" s="1"/>
  <c r="AE56" i="3"/>
  <c r="AE57" i="3"/>
  <c r="Y57" i="3" s="1"/>
  <c r="AE58" i="3"/>
  <c r="Y58" i="3" s="1"/>
  <c r="AE59" i="3"/>
  <c r="Y59" i="3" s="1"/>
  <c r="AE60" i="3"/>
  <c r="AE61" i="3"/>
  <c r="Y61" i="3" s="1"/>
  <c r="AE62" i="3"/>
  <c r="Y62" i="3" s="1"/>
  <c r="AE63" i="3"/>
  <c r="Y63" i="3" s="1"/>
  <c r="AE64" i="3"/>
  <c r="AE65" i="3"/>
  <c r="Y65" i="3" s="1"/>
  <c r="AE66" i="3"/>
  <c r="Y66" i="3" s="1"/>
  <c r="AE67" i="3"/>
  <c r="Y67" i="3" s="1"/>
  <c r="AE68" i="3"/>
  <c r="AE69" i="3"/>
  <c r="Y69" i="3" s="1"/>
  <c r="AE70" i="3"/>
  <c r="Y70" i="3" s="1"/>
  <c r="AE71" i="3"/>
  <c r="Y71" i="3" s="1"/>
  <c r="AE6" i="3"/>
  <c r="Y6" i="3" s="1"/>
  <c r="AD7" i="3"/>
  <c r="AD8" i="3"/>
  <c r="AD9" i="3"/>
  <c r="AD10" i="3"/>
  <c r="AD11" i="3"/>
  <c r="AD12" i="3"/>
  <c r="AD13" i="3"/>
  <c r="AD14" i="3"/>
  <c r="AD15" i="3"/>
  <c r="AD16" i="3"/>
  <c r="AD17" i="3"/>
  <c r="AD18" i="3"/>
  <c r="AD19" i="3"/>
  <c r="AD20" i="3"/>
  <c r="AD21" i="3"/>
  <c r="AD22" i="3"/>
  <c r="AD23" i="3"/>
  <c r="AD24" i="3"/>
  <c r="AD25" i="3"/>
  <c r="AD26" i="3"/>
  <c r="AD27" i="3"/>
  <c r="AD28" i="3"/>
  <c r="AD29" i="3"/>
  <c r="AD30" i="3"/>
  <c r="AD31" i="3"/>
  <c r="AD32" i="3"/>
  <c r="AD33" i="3"/>
  <c r="AD34" i="3"/>
  <c r="AD35" i="3"/>
  <c r="AD36" i="3"/>
  <c r="AD37" i="3"/>
  <c r="AD38" i="3"/>
  <c r="AD39" i="3"/>
  <c r="AD40" i="3"/>
  <c r="AD41" i="3"/>
  <c r="AD42" i="3"/>
  <c r="AD43" i="3"/>
  <c r="AD44" i="3"/>
  <c r="AD45" i="3"/>
  <c r="AD46" i="3"/>
  <c r="AD47" i="3"/>
  <c r="AD48" i="3"/>
  <c r="AD49" i="3"/>
  <c r="AD50" i="3"/>
  <c r="AD51" i="3"/>
  <c r="AD52" i="3"/>
  <c r="AD53" i="3"/>
  <c r="AD54" i="3"/>
  <c r="AD56" i="3"/>
  <c r="AD57" i="3"/>
  <c r="AD58" i="3"/>
  <c r="AD59" i="3"/>
  <c r="AD60" i="3"/>
  <c r="AD61" i="3"/>
  <c r="AD62" i="3"/>
  <c r="AD63" i="3"/>
  <c r="AD64" i="3"/>
  <c r="AD65" i="3"/>
  <c r="AD66" i="3"/>
  <c r="AD67" i="3"/>
  <c r="AD68" i="3"/>
  <c r="AD69" i="3"/>
  <c r="AD70" i="3"/>
  <c r="AD71" i="3"/>
  <c r="AD6" i="3"/>
  <c r="Y7" i="3"/>
  <c r="Y11" i="3"/>
  <c r="Y15" i="3"/>
  <c r="Y19" i="3"/>
  <c r="Y20" i="3"/>
  <c r="Y23" i="3"/>
  <c r="Y27" i="3"/>
  <c r="Y28" i="3"/>
  <c r="Y31" i="3"/>
  <c r="Y35" i="3"/>
  <c r="Y39" i="3"/>
  <c r="Y43" i="3"/>
  <c r="Y47" i="3"/>
  <c r="Y51" i="3"/>
  <c r="Y52" i="3"/>
  <c r="Y55" i="3"/>
  <c r="Y56" i="3"/>
  <c r="Y60" i="3"/>
  <c r="Y64" i="3"/>
  <c r="Y68" i="3"/>
  <c r="V15" i="18" l="1"/>
  <c r="T15" i="18"/>
  <c r="N68" i="3"/>
  <c r="P68" i="3"/>
  <c r="T68" i="3"/>
  <c r="U68" i="3"/>
  <c r="Z68" i="3"/>
  <c r="N69" i="3"/>
  <c r="P69" i="3"/>
  <c r="Q69" i="3" s="1"/>
  <c r="T69" i="3"/>
  <c r="U69" i="3"/>
  <c r="N70" i="3"/>
  <c r="P70" i="3"/>
  <c r="T70" i="3"/>
  <c r="U70" i="3"/>
  <c r="Z70" i="3"/>
  <c r="N71" i="3"/>
  <c r="P71" i="3"/>
  <c r="Q71" i="3" s="1"/>
  <c r="T71" i="3"/>
  <c r="U71" i="3"/>
  <c r="Z71" i="3"/>
  <c r="Z67" i="3"/>
  <c r="U67" i="3"/>
  <c r="T67" i="3"/>
  <c r="P67" i="3"/>
  <c r="N67" i="3"/>
  <c r="O68" i="3"/>
  <c r="N58" i="3"/>
  <c r="P58" i="3"/>
  <c r="T58" i="3"/>
  <c r="U58" i="3"/>
  <c r="N59" i="3"/>
  <c r="P59" i="3"/>
  <c r="Q59" i="3" s="1"/>
  <c r="T59" i="3"/>
  <c r="U59" i="3"/>
  <c r="N60" i="3"/>
  <c r="P60" i="3"/>
  <c r="T60" i="3"/>
  <c r="U60" i="3"/>
  <c r="N61" i="3"/>
  <c r="P61" i="3"/>
  <c r="Q61" i="3" s="1"/>
  <c r="Z61" i="3"/>
  <c r="N62" i="3"/>
  <c r="P62" i="3"/>
  <c r="R62" i="3" s="1"/>
  <c r="T62" i="3"/>
  <c r="U62" i="3"/>
  <c r="N63" i="3"/>
  <c r="P63" i="3"/>
  <c r="Q63" i="3" s="1"/>
  <c r="N64" i="3"/>
  <c r="P64" i="3"/>
  <c r="Q64" i="3" s="1"/>
  <c r="T64" i="3"/>
  <c r="U64" i="3"/>
  <c r="Z64" i="3"/>
  <c r="N65" i="3"/>
  <c r="P65" i="3"/>
  <c r="Q65" i="3" s="1"/>
  <c r="T65" i="3"/>
  <c r="U65" i="3"/>
  <c r="Z65" i="3"/>
  <c r="N66" i="3"/>
  <c r="P66" i="3"/>
  <c r="T66" i="3"/>
  <c r="U66" i="3"/>
  <c r="O65" i="3" l="1"/>
  <c r="O62" i="3"/>
  <c r="O61" i="3"/>
  <c r="O59" i="3"/>
  <c r="R67" i="3"/>
  <c r="R66" i="3"/>
  <c r="R60" i="3"/>
  <c r="R58" i="3"/>
  <c r="O66" i="3"/>
  <c r="O64" i="3"/>
  <c r="O63" i="3"/>
  <c r="O60" i="3"/>
  <c r="O58" i="3"/>
  <c r="O67" i="3"/>
  <c r="R70" i="3"/>
  <c r="R68" i="3"/>
  <c r="Q62" i="3"/>
  <c r="AC62" i="3" s="1"/>
  <c r="Q58" i="3"/>
  <c r="AC58" i="3" s="1"/>
  <c r="V70" i="3"/>
  <c r="X70" i="3" s="1"/>
  <c r="AB67" i="3"/>
  <c r="AA67" i="3" s="1"/>
  <c r="V68" i="3"/>
  <c r="W68" i="3" s="1"/>
  <c r="R59" i="3"/>
  <c r="Q60" i="3"/>
  <c r="AC60" i="3" s="1"/>
  <c r="AC59" i="3"/>
  <c r="Q68" i="3"/>
  <c r="AC68" i="3" s="1"/>
  <c r="Q66" i="3"/>
  <c r="AC66" i="3" s="1"/>
  <c r="AB71" i="3"/>
  <c r="AA71" i="3" s="1"/>
  <c r="Q70" i="3"/>
  <c r="AC70" i="3" s="1"/>
  <c r="Z59" i="3"/>
  <c r="AB59" i="3" s="1"/>
  <c r="AA59" i="3" s="1"/>
  <c r="O71" i="3"/>
  <c r="O70" i="3"/>
  <c r="R71" i="3"/>
  <c r="O69" i="3"/>
  <c r="AB65" i="3"/>
  <c r="AA65" i="3" s="1"/>
  <c r="R64" i="3"/>
  <c r="R63" i="3"/>
  <c r="AB61" i="3"/>
  <c r="AA61" i="3" s="1"/>
  <c r="AC63" i="3"/>
  <c r="AC71" i="3"/>
  <c r="AB68" i="3"/>
  <c r="AA68" i="3" s="1"/>
  <c r="AC69" i="3"/>
  <c r="AB70" i="3"/>
  <c r="AA70" i="3" s="1"/>
  <c r="R69" i="3"/>
  <c r="Z69" i="3"/>
  <c r="AB69" i="3" s="1"/>
  <c r="AA69" i="3" s="1"/>
  <c r="V71" i="3"/>
  <c r="Q67" i="3"/>
  <c r="AC67" i="3" s="1"/>
  <c r="V67" i="3"/>
  <c r="Z63" i="3"/>
  <c r="AB63" i="3" s="1"/>
  <c r="AA63" i="3" s="1"/>
  <c r="Z66" i="3"/>
  <c r="AB66" i="3" s="1"/>
  <c r="AA66" i="3" s="1"/>
  <c r="Z60" i="3"/>
  <c r="V60" i="3" s="1"/>
  <c r="X60" i="3" s="1"/>
  <c r="Z62" i="3"/>
  <c r="AB62" i="3" s="1"/>
  <c r="AA62" i="3" s="1"/>
  <c r="V64" i="3"/>
  <c r="W64" i="3" s="1"/>
  <c r="AB64" i="3"/>
  <c r="AA64" i="3" s="1"/>
  <c r="AC64" i="3"/>
  <c r="Z58" i="3"/>
  <c r="AB58" i="3" s="1"/>
  <c r="AA58" i="3" s="1"/>
  <c r="AC65" i="3"/>
  <c r="AC61" i="3"/>
  <c r="R65" i="3"/>
  <c r="R61" i="3"/>
  <c r="V65" i="3"/>
  <c r="G3" i="12"/>
  <c r="E3" i="12"/>
  <c r="W70" i="3" l="1"/>
  <c r="W60" i="3"/>
  <c r="V59" i="3"/>
  <c r="X59" i="3" s="1"/>
  <c r="X68" i="3"/>
  <c r="V66" i="3"/>
  <c r="W66" i="3" s="1"/>
  <c r="W71" i="3"/>
  <c r="X71" i="3"/>
  <c r="V69" i="3"/>
  <c r="W67" i="3"/>
  <c r="X67" i="3"/>
  <c r="V58" i="3"/>
  <c r="W58" i="3" s="1"/>
  <c r="AB60" i="3"/>
  <c r="AA60" i="3" s="1"/>
  <c r="V62" i="3"/>
  <c r="W62" i="3" s="1"/>
  <c r="X64" i="3"/>
  <c r="W65" i="3"/>
  <c r="X65" i="3"/>
  <c r="D3" i="12"/>
  <c r="D4" i="12" s="1"/>
  <c r="F3" i="12"/>
  <c r="F4" i="12" s="1"/>
  <c r="W59" i="3" l="1"/>
  <c r="X66" i="3"/>
  <c r="X58" i="3"/>
  <c r="X69" i="3"/>
  <c r="W69" i="3"/>
  <c r="X62" i="3"/>
  <c r="Z7" i="3"/>
  <c r="U8" i="3"/>
  <c r="U9" i="3"/>
  <c r="U10" i="3"/>
  <c r="U11" i="3"/>
  <c r="U13" i="3"/>
  <c r="U14" i="3"/>
  <c r="U16" i="3"/>
  <c r="U17" i="3"/>
  <c r="U19" i="3"/>
  <c r="U20" i="3"/>
  <c r="U21" i="3"/>
  <c r="U23" i="3"/>
  <c r="U24" i="3"/>
  <c r="U25" i="3"/>
  <c r="U26" i="3"/>
  <c r="U27" i="3"/>
  <c r="U30" i="3"/>
  <c r="U31" i="3"/>
  <c r="U32" i="3"/>
  <c r="U34" i="3"/>
  <c r="U35" i="3"/>
  <c r="U36" i="3"/>
  <c r="U38" i="3"/>
  <c r="U40" i="3"/>
  <c r="U42" i="3"/>
  <c r="U43" i="3"/>
  <c r="U45" i="3"/>
  <c r="U48" i="3"/>
  <c r="U49" i="3"/>
  <c r="U50" i="3"/>
  <c r="U51" i="3"/>
  <c r="U52" i="3"/>
  <c r="U53" i="3"/>
  <c r="U54" i="3"/>
  <c r="U55" i="3"/>
  <c r="U57" i="3"/>
  <c r="U6" i="3"/>
  <c r="Z55" i="3" l="1"/>
  <c r="Z43" i="3"/>
  <c r="Z31" i="3"/>
  <c r="Z19" i="3"/>
  <c r="Z54" i="3"/>
  <c r="Z50" i="3"/>
  <c r="Z46" i="3"/>
  <c r="Z42" i="3"/>
  <c r="Z38" i="3"/>
  <c r="Z34" i="3"/>
  <c r="Z30" i="3"/>
  <c r="Z26" i="3"/>
  <c r="Z22" i="3"/>
  <c r="Z18" i="3"/>
  <c r="Z14" i="3"/>
  <c r="Z10" i="3"/>
  <c r="Z39" i="3"/>
  <c r="Z23" i="3"/>
  <c r="Z57" i="3"/>
  <c r="Z53" i="3"/>
  <c r="Z49" i="3"/>
  <c r="Z45" i="3"/>
  <c r="Z41" i="3"/>
  <c r="Z37" i="3"/>
  <c r="Z33" i="3"/>
  <c r="Z29" i="3"/>
  <c r="Z25" i="3"/>
  <c r="Z21" i="3"/>
  <c r="Z17" i="3"/>
  <c r="Z13" i="3"/>
  <c r="Z9" i="3"/>
  <c r="Z51" i="3"/>
  <c r="Z47" i="3"/>
  <c r="Z35" i="3"/>
  <c r="Z27" i="3"/>
  <c r="Z15" i="3"/>
  <c r="Z11" i="3"/>
  <c r="Z56" i="3"/>
  <c r="Z52" i="3"/>
  <c r="Z48" i="3"/>
  <c r="Z44" i="3"/>
  <c r="Z40" i="3"/>
  <c r="Z36" i="3"/>
  <c r="Z32" i="3"/>
  <c r="Z28" i="3"/>
  <c r="Z24" i="3"/>
  <c r="Z20" i="3"/>
  <c r="Z16" i="3"/>
  <c r="Z12" i="3"/>
  <c r="Z8" i="3"/>
  <c r="N10" i="3"/>
  <c r="N11" i="3"/>
  <c r="N12" i="3"/>
  <c r="N13" i="3"/>
  <c r="N14" i="3"/>
  <c r="N15" i="3"/>
  <c r="N16" i="3"/>
  <c r="N17" i="3"/>
  <c r="N18" i="3"/>
  <c r="N19" i="3"/>
  <c r="N20" i="3"/>
  <c r="N21" i="3"/>
  <c r="N22" i="3"/>
  <c r="N23" i="3"/>
  <c r="N24" i="3"/>
  <c r="N25" i="3"/>
  <c r="N26" i="3"/>
  <c r="N27" i="3"/>
  <c r="N28" i="3"/>
  <c r="N29" i="3"/>
  <c r="N30" i="3"/>
  <c r="N31" i="3"/>
  <c r="N32" i="3"/>
  <c r="N33" i="3"/>
  <c r="N34" i="3"/>
  <c r="N35" i="3"/>
  <c r="N36" i="3"/>
  <c r="N37" i="3"/>
  <c r="N38" i="3"/>
  <c r="N39" i="3"/>
  <c r="N40" i="3"/>
  <c r="N41" i="3"/>
  <c r="N42" i="3"/>
  <c r="N43" i="3"/>
  <c r="N44" i="3"/>
  <c r="N45" i="3"/>
  <c r="N46" i="3"/>
  <c r="N47" i="3"/>
  <c r="N48" i="3"/>
  <c r="N49" i="3"/>
  <c r="N50" i="3"/>
  <c r="N51" i="3"/>
  <c r="N52" i="3"/>
  <c r="N53" i="3"/>
  <c r="N54" i="3"/>
  <c r="N55" i="3"/>
  <c r="N56" i="3"/>
  <c r="N57" i="3"/>
  <c r="O9" i="3"/>
  <c r="O10" i="3"/>
  <c r="O11" i="3"/>
  <c r="O12" i="3"/>
  <c r="O13" i="3"/>
  <c r="O14" i="3"/>
  <c r="O15" i="3"/>
  <c r="O16" i="3"/>
  <c r="O17" i="3"/>
  <c r="O18" i="3"/>
  <c r="O19" i="3"/>
  <c r="O20" i="3"/>
  <c r="O21" i="3"/>
  <c r="O22" i="3"/>
  <c r="O23" i="3"/>
  <c r="O24" i="3"/>
  <c r="O25" i="3"/>
  <c r="O26" i="3"/>
  <c r="O27" i="3"/>
  <c r="O28" i="3"/>
  <c r="O29" i="3"/>
  <c r="O30" i="3"/>
  <c r="O31" i="3"/>
  <c r="O32" i="3"/>
  <c r="O33" i="3"/>
  <c r="O34" i="3"/>
  <c r="O35" i="3"/>
  <c r="O36" i="3"/>
  <c r="O37" i="3"/>
  <c r="O38" i="3"/>
  <c r="O39" i="3"/>
  <c r="O40" i="3"/>
  <c r="O41" i="3"/>
  <c r="O42" i="3"/>
  <c r="O43" i="3"/>
  <c r="O44" i="3"/>
  <c r="O45" i="3"/>
  <c r="O46" i="3"/>
  <c r="O47" i="3"/>
  <c r="O48" i="3"/>
  <c r="O49" i="3"/>
  <c r="O50" i="3"/>
  <c r="O51" i="3"/>
  <c r="O52" i="3"/>
  <c r="O53" i="3"/>
  <c r="O54" i="3"/>
  <c r="O55" i="3"/>
  <c r="O56" i="3"/>
  <c r="O57" i="3"/>
  <c r="P9" i="3"/>
  <c r="P10" i="3"/>
  <c r="P11" i="3"/>
  <c r="P12" i="3"/>
  <c r="P13" i="3"/>
  <c r="P14" i="3"/>
  <c r="P15" i="3"/>
  <c r="P16" i="3"/>
  <c r="P17" i="3"/>
  <c r="P18" i="3"/>
  <c r="P19" i="3"/>
  <c r="P20" i="3"/>
  <c r="AB20" i="3" s="1"/>
  <c r="AA20" i="3" s="1"/>
  <c r="P21" i="3"/>
  <c r="P22" i="3"/>
  <c r="P23" i="3"/>
  <c r="AB23" i="3" s="1"/>
  <c r="AA23" i="3" s="1"/>
  <c r="P24" i="3"/>
  <c r="P25" i="3"/>
  <c r="P26" i="3"/>
  <c r="P27" i="3"/>
  <c r="P28" i="3"/>
  <c r="P29" i="3"/>
  <c r="P30" i="3"/>
  <c r="P31" i="3"/>
  <c r="P32" i="3"/>
  <c r="P33" i="3"/>
  <c r="P34" i="3"/>
  <c r="P35" i="3"/>
  <c r="AB35" i="3" s="1"/>
  <c r="AA35" i="3" s="1"/>
  <c r="P36" i="3"/>
  <c r="AB36" i="3" s="1"/>
  <c r="AA36" i="3" s="1"/>
  <c r="P37" i="3"/>
  <c r="P38" i="3"/>
  <c r="P39" i="3"/>
  <c r="P40" i="3"/>
  <c r="P41" i="3"/>
  <c r="P42" i="3"/>
  <c r="P43" i="3"/>
  <c r="AB43" i="3" s="1"/>
  <c r="AA43" i="3" s="1"/>
  <c r="P44" i="3"/>
  <c r="P45" i="3"/>
  <c r="P46" i="3"/>
  <c r="P47" i="3"/>
  <c r="P48" i="3"/>
  <c r="P49" i="3"/>
  <c r="P50" i="3"/>
  <c r="P51" i="3"/>
  <c r="P52" i="3"/>
  <c r="AB52" i="3" s="1"/>
  <c r="AA52" i="3" s="1"/>
  <c r="P53" i="3"/>
  <c r="P54" i="3"/>
  <c r="P55" i="3"/>
  <c r="P56" i="3"/>
  <c r="P57" i="3"/>
  <c r="T8" i="3"/>
  <c r="T9" i="3"/>
  <c r="T10" i="3"/>
  <c r="T11" i="3"/>
  <c r="T13" i="3"/>
  <c r="T14" i="3"/>
  <c r="T16" i="3"/>
  <c r="T17" i="3"/>
  <c r="T19" i="3"/>
  <c r="T20" i="3"/>
  <c r="T21" i="3"/>
  <c r="T23" i="3"/>
  <c r="T24" i="3"/>
  <c r="T25" i="3"/>
  <c r="T26" i="3"/>
  <c r="T27" i="3"/>
  <c r="T30" i="3"/>
  <c r="T31" i="3"/>
  <c r="T32" i="3"/>
  <c r="T34" i="3"/>
  <c r="T35" i="3"/>
  <c r="T36" i="3"/>
  <c r="T38" i="3"/>
  <c r="T40" i="3"/>
  <c r="T42" i="3"/>
  <c r="T43" i="3"/>
  <c r="T45" i="3"/>
  <c r="T48" i="3"/>
  <c r="T49" i="3"/>
  <c r="T50" i="3"/>
  <c r="T51" i="3"/>
  <c r="T52" i="3"/>
  <c r="T53" i="3"/>
  <c r="T54" i="3"/>
  <c r="T55" i="3"/>
  <c r="T57" i="3"/>
  <c r="AB49" i="3" l="1"/>
  <c r="AA49" i="3" s="1"/>
  <c r="AB19" i="3"/>
  <c r="AA19" i="3" s="1"/>
  <c r="AB15" i="3"/>
  <c r="AA15" i="3" s="1"/>
  <c r="AB51" i="3"/>
  <c r="AA51" i="3" s="1"/>
  <c r="AB44" i="3"/>
  <c r="AA44" i="3" s="1"/>
  <c r="AB28" i="3"/>
  <c r="AA28" i="3" s="1"/>
  <c r="AB12" i="3"/>
  <c r="AA12" i="3" s="1"/>
  <c r="AB42" i="3"/>
  <c r="AA42" i="3" s="1"/>
  <c r="AB26" i="3"/>
  <c r="AA26" i="3" s="1"/>
  <c r="AB10" i="3"/>
  <c r="AA10" i="3" s="1"/>
  <c r="AB50" i="3"/>
  <c r="AA50" i="3" s="1"/>
  <c r="AB57" i="3"/>
  <c r="AA57" i="3" s="1"/>
  <c r="AB34" i="3"/>
  <c r="AA34" i="3" s="1"/>
  <c r="AB18" i="3"/>
  <c r="AA18" i="3" s="1"/>
  <c r="AB53" i="3"/>
  <c r="AA53" i="3" s="1"/>
  <c r="AB45" i="3"/>
  <c r="AA45" i="3" s="1"/>
  <c r="AB37" i="3"/>
  <c r="AA37" i="3" s="1"/>
  <c r="AB29" i="3"/>
  <c r="AA29" i="3" s="1"/>
  <c r="AB21" i="3"/>
  <c r="AA21" i="3" s="1"/>
  <c r="AB13" i="3"/>
  <c r="AA13" i="3" s="1"/>
  <c r="AB56" i="3"/>
  <c r="AA56" i="3" s="1"/>
  <c r="AB48" i="3"/>
  <c r="AA48" i="3" s="1"/>
  <c r="AB40" i="3"/>
  <c r="AA40" i="3" s="1"/>
  <c r="AB32" i="3"/>
  <c r="AA32" i="3" s="1"/>
  <c r="AB24" i="3"/>
  <c r="AA24" i="3" s="1"/>
  <c r="AB16" i="3"/>
  <c r="AA16" i="3" s="1"/>
  <c r="AB47" i="3"/>
  <c r="AA47" i="3" s="1"/>
  <c r="AB27" i="3"/>
  <c r="AA27" i="3" s="1"/>
  <c r="AB55" i="3"/>
  <c r="AA55" i="3" s="1"/>
  <c r="AB39" i="3"/>
  <c r="AA39" i="3" s="1"/>
  <c r="AB31" i="3"/>
  <c r="AA31" i="3" s="1"/>
  <c r="AB11" i="3"/>
  <c r="AA11" i="3" s="1"/>
  <c r="AB54" i="3"/>
  <c r="AA54" i="3" s="1"/>
  <c r="AB46" i="3"/>
  <c r="AA46" i="3" s="1"/>
  <c r="AB38" i="3"/>
  <c r="AA38" i="3" s="1"/>
  <c r="AB30" i="3"/>
  <c r="AA30" i="3" s="1"/>
  <c r="AB22" i="3"/>
  <c r="AA22" i="3" s="1"/>
  <c r="AB14" i="3"/>
  <c r="AA14" i="3" s="1"/>
  <c r="AB41" i="3"/>
  <c r="AA41" i="3" s="1"/>
  <c r="AB33" i="3"/>
  <c r="AA33" i="3" s="1"/>
  <c r="AB25" i="3"/>
  <c r="AA25" i="3" s="1"/>
  <c r="AB17" i="3"/>
  <c r="AA17" i="3" s="1"/>
  <c r="AB9" i="3"/>
  <c r="AA9" i="3" s="1"/>
  <c r="Q32" i="3"/>
  <c r="AC32" i="3" s="1"/>
  <c r="Q11" i="3"/>
  <c r="AC11" i="3" s="1"/>
  <c r="Q12" i="3"/>
  <c r="AC12" i="3" s="1"/>
  <c r="Q10" i="3"/>
  <c r="AC10" i="3" s="1"/>
  <c r="Q20" i="3"/>
  <c r="AC20" i="3" s="1"/>
  <c r="Q27" i="3"/>
  <c r="AC27" i="3" s="1"/>
  <c r="Q36" i="3"/>
  <c r="AC36" i="3" s="1"/>
  <c r="Q16" i="3"/>
  <c r="AC16" i="3" s="1"/>
  <c r="Q43" i="3"/>
  <c r="AC43" i="3" s="1"/>
  <c r="Q52" i="3"/>
  <c r="AC52" i="3" s="1"/>
  <c r="Q44" i="3"/>
  <c r="AC44" i="3" s="1"/>
  <c r="R38" i="3"/>
  <c r="Q56" i="3"/>
  <c r="AC56" i="3" s="1"/>
  <c r="Q38" i="3"/>
  <c r="AC38" i="3" s="1"/>
  <c r="Q24" i="3"/>
  <c r="AC24" i="3" s="1"/>
  <c r="R26" i="3"/>
  <c r="Q54" i="3"/>
  <c r="AC54" i="3" s="1"/>
  <c r="Q26" i="3"/>
  <c r="AC26" i="3" s="1"/>
  <c r="R54" i="3"/>
  <c r="R22" i="3"/>
  <c r="Q42" i="3"/>
  <c r="AC42" i="3" s="1"/>
  <c r="R42" i="3"/>
  <c r="R10" i="3"/>
  <c r="Q48" i="3"/>
  <c r="AC48" i="3" s="1"/>
  <c r="Q40" i="3"/>
  <c r="AC40" i="3" s="1"/>
  <c r="Q28" i="3"/>
  <c r="AC28" i="3" s="1"/>
  <c r="Q22" i="3"/>
  <c r="AC22" i="3" s="1"/>
  <c r="R55" i="3"/>
  <c r="R51" i="3"/>
  <c r="R47" i="3"/>
  <c r="R43" i="3"/>
  <c r="R39" i="3"/>
  <c r="R35" i="3"/>
  <c r="R31" i="3"/>
  <c r="R27" i="3"/>
  <c r="R23" i="3"/>
  <c r="R19" i="3"/>
  <c r="R15" i="3"/>
  <c r="R11" i="3"/>
  <c r="Q47" i="3"/>
  <c r="AC47" i="3" s="1"/>
  <c r="Q31" i="3"/>
  <c r="AC31" i="3" s="1"/>
  <c r="Q15" i="3"/>
  <c r="AC15" i="3" s="1"/>
  <c r="R50" i="3"/>
  <c r="R34" i="3"/>
  <c r="R18" i="3"/>
  <c r="Q51" i="3"/>
  <c r="AC51" i="3" s="1"/>
  <c r="Q46" i="3"/>
  <c r="AC46" i="3" s="1"/>
  <c r="Q35" i="3"/>
  <c r="AC35" i="3" s="1"/>
  <c r="Q30" i="3"/>
  <c r="AC30" i="3" s="1"/>
  <c r="Q19" i="3"/>
  <c r="AC19" i="3" s="1"/>
  <c r="Q14" i="3"/>
  <c r="AC14" i="3" s="1"/>
  <c r="Q57" i="3"/>
  <c r="AC57" i="3" s="1"/>
  <c r="Q53" i="3"/>
  <c r="AC53" i="3" s="1"/>
  <c r="Q49" i="3"/>
  <c r="AC49" i="3" s="1"/>
  <c r="Q45" i="3"/>
  <c r="AC45" i="3" s="1"/>
  <c r="Q41" i="3"/>
  <c r="AC41" i="3" s="1"/>
  <c r="Q37" i="3"/>
  <c r="AC37" i="3" s="1"/>
  <c r="Q33" i="3"/>
  <c r="AC33" i="3" s="1"/>
  <c r="Q29" i="3"/>
  <c r="AC29" i="3" s="1"/>
  <c r="Q25" i="3"/>
  <c r="AC25" i="3" s="1"/>
  <c r="Q21" i="3"/>
  <c r="AC21" i="3" s="1"/>
  <c r="Q17" i="3"/>
  <c r="AC17" i="3" s="1"/>
  <c r="Q13" i="3"/>
  <c r="AC13" i="3" s="1"/>
  <c r="Q9" i="3"/>
  <c r="AC9" i="3" s="1"/>
  <c r="R46" i="3"/>
  <c r="R30" i="3"/>
  <c r="R14" i="3"/>
  <c r="Q55" i="3"/>
  <c r="AC55" i="3" s="1"/>
  <c r="Q50" i="3"/>
  <c r="AC50" i="3" s="1"/>
  <c r="Q39" i="3"/>
  <c r="AC39" i="3" s="1"/>
  <c r="Q34" i="3"/>
  <c r="AC34" i="3" s="1"/>
  <c r="Q23" i="3"/>
  <c r="AC23" i="3" s="1"/>
  <c r="Q18" i="3"/>
  <c r="AC18" i="3" s="1"/>
  <c r="R56" i="3"/>
  <c r="R52" i="3"/>
  <c r="R48" i="3"/>
  <c r="R44" i="3"/>
  <c r="R40" i="3"/>
  <c r="R36" i="3"/>
  <c r="R32" i="3"/>
  <c r="R28" i="3"/>
  <c r="R24" i="3"/>
  <c r="R20" i="3"/>
  <c r="R16" i="3"/>
  <c r="R12" i="3"/>
  <c r="R57" i="3"/>
  <c r="R53" i="3"/>
  <c r="R49" i="3"/>
  <c r="R45" i="3"/>
  <c r="R41" i="3"/>
  <c r="R37" i="3"/>
  <c r="R33" i="3"/>
  <c r="R29" i="3"/>
  <c r="R25" i="3"/>
  <c r="R21" i="3"/>
  <c r="R17" i="3"/>
  <c r="R13" i="3"/>
  <c r="R9" i="3"/>
  <c r="P7" i="3"/>
  <c r="AB7" i="3" s="1"/>
  <c r="AA7" i="3" s="1"/>
  <c r="V50" i="3" l="1"/>
  <c r="V45" i="3"/>
  <c r="V43" i="3"/>
  <c r="V32" i="3"/>
  <c r="V27" i="3"/>
  <c r="V26" i="3"/>
  <c r="V24" i="3"/>
  <c r="V23" i="3"/>
  <c r="V20" i="3"/>
  <c r="V19" i="3"/>
  <c r="V17" i="3"/>
  <c r="V16" i="3"/>
  <c r="V14" i="3"/>
  <c r="V11" i="3"/>
  <c r="V9" i="3"/>
  <c r="N9" i="3"/>
  <c r="R7" i="3"/>
  <c r="O7" i="3"/>
  <c r="N7" i="3"/>
  <c r="T6" i="3"/>
  <c r="X9" i="3" l="1"/>
  <c r="W9" i="3"/>
  <c r="X14" i="3"/>
  <c r="W14" i="3"/>
  <c r="X19" i="3"/>
  <c r="W19" i="3"/>
  <c r="W23" i="3"/>
  <c r="X23" i="3"/>
  <c r="X43" i="3"/>
  <c r="W43" i="3"/>
  <c r="X11" i="3"/>
  <c r="W11" i="3"/>
  <c r="W16" i="3"/>
  <c r="X16" i="3"/>
  <c r="X20" i="3"/>
  <c r="W20" i="3"/>
  <c r="W24" i="3"/>
  <c r="X24" i="3"/>
  <c r="X32" i="3"/>
  <c r="W32" i="3"/>
  <c r="W45" i="3"/>
  <c r="X45" i="3"/>
  <c r="X17" i="3"/>
  <c r="W17" i="3"/>
  <c r="X26" i="3"/>
  <c r="W26" i="3"/>
  <c r="X50" i="3"/>
  <c r="W50" i="3"/>
  <c r="X27" i="3"/>
  <c r="W27" i="3"/>
  <c r="Q7" i="3"/>
  <c r="V25" i="3"/>
  <c r="V30" i="3"/>
  <c r="V31" i="3"/>
  <c r="V34" i="3"/>
  <c r="V35" i="3"/>
  <c r="V36" i="3"/>
  <c r="V38" i="3"/>
  <c r="V49" i="3"/>
  <c r="V51" i="3"/>
  <c r="V54" i="3"/>
  <c r="V57" i="3"/>
  <c r="Z6" i="3"/>
  <c r="X35" i="3" l="1"/>
  <c r="W35" i="3"/>
  <c r="X30" i="3"/>
  <c r="W30" i="3"/>
  <c r="V55" i="3"/>
  <c r="V13" i="3"/>
  <c r="W57" i="3"/>
  <c r="X57" i="3"/>
  <c r="X51" i="3"/>
  <c r="W51" i="3"/>
  <c r="X38" i="3"/>
  <c r="W38" i="3"/>
  <c r="X34" i="3"/>
  <c r="W34" i="3"/>
  <c r="V21" i="3"/>
  <c r="V40" i="3"/>
  <c r="W49" i="3"/>
  <c r="X49" i="3"/>
  <c r="W25" i="3"/>
  <c r="X25" i="3"/>
  <c r="V53" i="3"/>
  <c r="X54" i="3"/>
  <c r="W54" i="3"/>
  <c r="X36" i="3"/>
  <c r="W36" i="3"/>
  <c r="X31" i="3"/>
  <c r="W31" i="3"/>
  <c r="V10" i="3"/>
  <c r="N8" i="3"/>
  <c r="O8" i="3"/>
  <c r="P8" i="3"/>
  <c r="AB8" i="3" s="1"/>
  <c r="AA8" i="3" s="1"/>
  <c r="P6" i="3"/>
  <c r="O6" i="3"/>
  <c r="N6" i="3"/>
  <c r="R6" i="3" l="1"/>
  <c r="V6" i="3"/>
  <c r="X10" i="3"/>
  <c r="W10" i="3"/>
  <c r="V8" i="3"/>
  <c r="R8" i="3"/>
  <c r="W53" i="3"/>
  <c r="X53" i="3"/>
  <c r="X21" i="3"/>
  <c r="W21" i="3"/>
  <c r="X13" i="3"/>
  <c r="W13" i="3"/>
  <c r="X40" i="3"/>
  <c r="W40" i="3"/>
  <c r="X55" i="3"/>
  <c r="W55" i="3"/>
  <c r="Q8" i="3"/>
  <c r="AC8" i="3" s="1"/>
  <c r="AC7" i="3"/>
  <c r="Q6" i="3"/>
  <c r="AC6" i="3" s="1"/>
  <c r="X8" i="3" l="1"/>
  <c r="W8" i="3"/>
  <c r="W6" i="3"/>
  <c r="X6" i="3"/>
  <c r="AB6" i="3"/>
  <c r="AA6" i="3" s="1"/>
  <c r="AW4" i="4"/>
  <c r="V42" i="3" l="1"/>
  <c r="X42" i="3" l="1"/>
  <c r="W42" i="3"/>
  <c r="V48" i="3" l="1"/>
  <c r="X48" i="3" l="1"/>
  <c r="W48" i="3"/>
  <c r="V52" i="3" l="1"/>
  <c r="X52" i="3" l="1"/>
  <c r="W52" i="3"/>
  <c r="U15" i="3" l="1"/>
  <c r="T15" i="3"/>
  <c r="V15" i="3"/>
  <c r="X15" i="3" s="1"/>
  <c r="W15" i="3" l="1"/>
  <c r="U33" i="3" l="1"/>
  <c r="T33" i="3"/>
  <c r="V33" i="3"/>
  <c r="X33" i="3" s="1"/>
  <c r="W33" i="3" l="1"/>
  <c r="U22" i="3"/>
  <c r="T22" i="3"/>
  <c r="V22" i="3"/>
  <c r="X22" i="3" s="1"/>
  <c r="W22" i="3" l="1"/>
  <c r="T61" i="3"/>
  <c r="U61" i="3"/>
  <c r="V61" i="3"/>
  <c r="W61" i="3" s="1"/>
  <c r="X61" i="3" l="1"/>
  <c r="T37" i="3"/>
  <c r="U37" i="3"/>
  <c r="V37" i="3"/>
  <c r="W37" i="3" s="1"/>
  <c r="U56" i="3"/>
  <c r="T56" i="3"/>
  <c r="V56" i="3"/>
  <c r="X56" i="3" s="1"/>
  <c r="X37" i="3" l="1"/>
  <c r="W56" i="3"/>
  <c r="T39" i="3"/>
  <c r="U39" i="3"/>
  <c r="V39" i="3"/>
  <c r="X39" i="3" s="1"/>
  <c r="U46" i="3"/>
  <c r="T46" i="3"/>
  <c r="V46" i="3"/>
  <c r="X46" i="3" s="1"/>
  <c r="W39" i="3" l="1"/>
  <c r="W46" i="3"/>
  <c r="U63" i="3"/>
  <c r="T63" i="3"/>
  <c r="V63" i="3"/>
  <c r="W63" i="3" s="1"/>
  <c r="X63" i="3" l="1"/>
  <c r="U28" i="3"/>
  <c r="T28" i="3"/>
  <c r="V28" i="3"/>
  <c r="X28" i="3" s="1"/>
  <c r="W28" i="3" l="1"/>
  <c r="U44" i="3"/>
  <c r="T44" i="3"/>
  <c r="V44" i="3"/>
  <c r="X44" i="3" s="1"/>
  <c r="W44" i="3" l="1"/>
  <c r="U29" i="3"/>
  <c r="T29" i="3"/>
  <c r="V29" i="3"/>
  <c r="W29" i="3" s="1"/>
  <c r="X29" i="3" l="1"/>
  <c r="U47" i="3"/>
  <c r="T47" i="3"/>
  <c r="V47" i="3"/>
  <c r="W47" i="3" s="1"/>
  <c r="X47" i="3" l="1"/>
  <c r="U12" i="3"/>
  <c r="T12" i="3"/>
  <c r="V12" i="3"/>
  <c r="X12" i="3" s="1"/>
  <c r="W12" i="3" l="1"/>
  <c r="T41" i="3"/>
  <c r="U41" i="3"/>
  <c r="V41" i="3"/>
  <c r="X41" i="3" s="1"/>
  <c r="U7" i="3"/>
  <c r="T7" i="3"/>
  <c r="V7" i="3"/>
  <c r="X7" i="3" s="1"/>
  <c r="W41" i="3" l="1"/>
  <c r="W7" i="3"/>
  <c r="T18" i="3"/>
  <c r="U18" i="3"/>
  <c r="V18" i="3"/>
  <c r="X18" i="3" s="1"/>
  <c r="W18" i="3" l="1"/>
  <c r="U19" i="18"/>
  <c r="T19" i="18" s="1"/>
  <c r="R19" i="18"/>
  <c r="V19" i="18" l="1"/>
  <c r="R22" i="18"/>
  <c r="R23" i="18"/>
  <c r="R21" i="18" l="1"/>
  <c r="U21" i="18"/>
  <c r="V21" i="1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ICG - Esp. Informática Programacion (Ariadna)</author>
  </authors>
  <commentList>
    <comment ref="N6" authorId="0" shapeId="0" xr:uid="{00000000-0006-0000-0100-000001000000}">
      <text>
        <r>
          <rPr>
            <b/>
            <sz val="9"/>
            <color indexed="81"/>
            <rFont val="Tahoma"/>
            <family val="2"/>
          </rPr>
          <t>ICG - Esp. Informática Programacion (Ariadna):</t>
        </r>
        <r>
          <rPr>
            <sz val="9"/>
            <color indexed="81"/>
            <rFont val="Tahoma"/>
            <family val="2"/>
          </rPr>
          <t xml:space="preserve">
DEFINIR</t>
        </r>
      </text>
    </comment>
  </commentList>
</comments>
</file>

<file path=xl/sharedStrings.xml><?xml version="1.0" encoding="utf-8"?>
<sst xmlns="http://schemas.openxmlformats.org/spreadsheetml/2006/main" count="1552" uniqueCount="425">
  <si>
    <t>PASAPORTE</t>
  </si>
  <si>
    <t>Importe USD</t>
  </si>
  <si>
    <t>Importe AKZ</t>
  </si>
  <si>
    <t>A pagar en Angola</t>
  </si>
  <si>
    <t>A pagar en Cuba</t>
  </si>
  <si>
    <t xml:space="preserve">GUIA AÉREA                                                                                                        </t>
  </si>
  <si>
    <t>CI</t>
  </si>
  <si>
    <t>NOMBRE</t>
  </si>
  <si>
    <t>EMPRESA</t>
  </si>
  <si>
    <t>KILOGRAMOS POR C/BULTOS</t>
  </si>
  <si>
    <t>NUMERO VALE</t>
  </si>
  <si>
    <t>SALARIO</t>
  </si>
  <si>
    <t>NOMBRE CONTRATO</t>
  </si>
  <si>
    <t>MOTIVO DESPACHO</t>
  </si>
  <si>
    <t>CARNET IDENTIDAD</t>
  </si>
  <si>
    <t>ESPECIALIDAD</t>
  </si>
  <si>
    <t>FECHA_DESPACHO</t>
  </si>
  <si>
    <t>TOTAL KG</t>
  </si>
  <si>
    <t>A PAGAR EN ANGOLA</t>
  </si>
  <si>
    <t>EXP. SIGANT</t>
  </si>
  <si>
    <t>DESGLOSE DE CARGA POR COOPERANTE</t>
  </si>
  <si>
    <t>AGRUPACION</t>
  </si>
  <si>
    <t xml:space="preserve"> </t>
  </si>
  <si>
    <t>50KG LIBRE DE COSTO?</t>
  </si>
  <si>
    <t>Total KG</t>
  </si>
  <si>
    <t>Total sin 50 KG</t>
  </si>
  <si>
    <t>EXP.</t>
  </si>
  <si>
    <t>FECHA CONTRATO INDIVIDUAL</t>
  </si>
  <si>
    <t>FECHA DESPACHO</t>
  </si>
  <si>
    <t>AKZ</t>
  </si>
  <si>
    <t>USD</t>
  </si>
  <si>
    <t>CONVENIO DE PAGO DE MENAJE DE CASA</t>
  </si>
  <si>
    <t>TITULOS</t>
  </si>
  <si>
    <t>EFECTOS</t>
  </si>
  <si>
    <t>MEDICO ESPECIALISTA EN ORTOPEDIA Y TRAUMATOLOGIA</t>
  </si>
  <si>
    <t>IDA EVACUADO</t>
  </si>
  <si>
    <t>CUMPLIMIENTO</t>
  </si>
  <si>
    <t>ESPECIALISTA CONTROL DE VECTORES</t>
  </si>
  <si>
    <t>SIMPORTEX SAMM EUROS</t>
  </si>
  <si>
    <t>MEDICO ESPECIALISTA EN PEDIATRIA</t>
  </si>
  <si>
    <t>MEDICO ESPECIALISTA EN MEDICINA INTENSIVA</t>
  </si>
  <si>
    <t>MEDICO ESPECIALISTA EN MEDICINA INTERNA</t>
  </si>
  <si>
    <t>TECNICO EN ANESTESIA</t>
  </si>
  <si>
    <t>MESCTI-CARRERAS DE SALUD 2020</t>
  </si>
  <si>
    <t>MEDICO ESPECIALISTA EN GINECOBSTETRICIA</t>
  </si>
  <si>
    <t>Total descuento 50KG</t>
  </si>
  <si>
    <t>CSS/FAA PROYECTO DE FOMENTO AL COOPERATIVISMO</t>
  </si>
  <si>
    <t>AT CLINICA MEDITEX SUP No.1</t>
  </si>
  <si>
    <t>IMBONDEX CONSTRUCOES</t>
  </si>
  <si>
    <t>INGENIERO EN ELECTROMEDICINA</t>
  </si>
  <si>
    <t>LICENCIADO EN LABORATORIO CLINICO</t>
  </si>
  <si>
    <t>ANTEX ANGOLA , AT SUPLEMENTO NO 2</t>
  </si>
  <si>
    <t>Descuento de nómina</t>
  </si>
  <si>
    <t>expediente</t>
  </si>
  <si>
    <t>agrupacion</t>
  </si>
  <si>
    <t>nombre_candidato</t>
  </si>
  <si>
    <t>kg_libre</t>
  </si>
  <si>
    <t>motivo_vuelo</t>
  </si>
  <si>
    <t>ci</t>
  </si>
  <si>
    <t>categoria</t>
  </si>
  <si>
    <t>fecha_admicion</t>
  </si>
  <si>
    <t>nombre_establecimiento</t>
  </si>
  <si>
    <t>salario</t>
  </si>
  <si>
    <t>importe_descontado</t>
  </si>
  <si>
    <t>TERMINO MISIÓN (CIERRE CONTRATO)</t>
  </si>
  <si>
    <t>FELIX BOUZA ROMERO</t>
  </si>
  <si>
    <t>MEDICO ESPECIALISTA EN HIGIENE Y EPIDEMIOLOGIA</t>
  </si>
  <si>
    <t>ISIDRO ALEJANDRO FONSECA BAGAROTTI</t>
  </si>
  <si>
    <t>MEDICO ESPECIALISTA EN CIRUGIA GENERAL</t>
  </si>
  <si>
    <t>MEDICO ESPECIALISTA EN CARDIOLOGIA</t>
  </si>
  <si>
    <t>SIMPORTEX-ASISTENCIA TECNICA</t>
  </si>
  <si>
    <t>TECNICO EN OPTOMETRIA Y OPTICA</t>
  </si>
  <si>
    <t>ESTOMATOLOGO</t>
  </si>
  <si>
    <t>Importe USD a descontar de la reserva</t>
  </si>
  <si>
    <t xml:space="preserve">KG a pagar   de la reserva </t>
  </si>
  <si>
    <t>KG del importe reservado</t>
  </si>
  <si>
    <t>Importe a devolver por empresa en USD</t>
  </si>
  <si>
    <t>Tasa de pago al despachante (AKZ)</t>
  </si>
  <si>
    <t>Importe reservado USD  segun tasa del despachante</t>
  </si>
  <si>
    <t>Importe reservado USD  por nómina</t>
  </si>
  <si>
    <t>MINSA -ASISTENCIA TECNICA</t>
  </si>
  <si>
    <t>JEFE DE BRIGADA</t>
  </si>
  <si>
    <t>MEDICO ESPECIALISTA EN MEDICINA GENERAL INTEGRAL</t>
  </si>
  <si>
    <t>AT ANTEX PROYECTOS FISCALIZACION</t>
  </si>
  <si>
    <t>LICENCIADO EN GESTION DE LA INFORMACION EN SALUD</t>
  </si>
  <si>
    <t>Administrador 1</t>
  </si>
  <si>
    <t>Administrador 2</t>
  </si>
  <si>
    <t>Nombre completo empresa</t>
  </si>
  <si>
    <t>Constribuyente</t>
  </si>
  <si>
    <t>Dirección</t>
  </si>
  <si>
    <t>Nombre  corto empresa</t>
  </si>
  <si>
    <t xml:space="preserve">PARTES DEL CONTRATO </t>
  </si>
  <si>
    <t>DE UNA PARTE</t>
  </si>
  <si>
    <t>Y DE OTRA PARTE</t>
  </si>
  <si>
    <t>AMBAS PARTES</t>
  </si>
  <si>
    <t>LAS PARTES</t>
  </si>
  <si>
    <t>PARTE COOPERANTE</t>
  </si>
  <si>
    <t>Administradores</t>
  </si>
  <si>
    <t>CONSIDERANDOS</t>
  </si>
  <si>
    <t>DECLARACION PARTES</t>
  </si>
  <si>
    <t>CONVIENEN</t>
  </si>
  <si>
    <t>FECHA DEL CONTRATO</t>
  </si>
  <si>
    <t>Fiscalizador del ctto</t>
  </si>
  <si>
    <t>Dirección Económica</t>
  </si>
  <si>
    <t>CON DESCUENTO POR RETENCIÓN DE NÓMINA</t>
  </si>
  <si>
    <t>DESCRIPCION_TIPO_ PAGO</t>
  </si>
  <si>
    <t>TIPO_PAGO</t>
  </si>
  <si>
    <t>de_1_parte</t>
  </si>
  <si>
    <t>ambas_partes</t>
  </si>
  <si>
    <t>las_partes</t>
  </si>
  <si>
    <t>parte_cooperante</t>
  </si>
  <si>
    <t>VARIABLES</t>
  </si>
  <si>
    <t>VALORES</t>
  </si>
  <si>
    <t>ESTRUCTURA CONVENIO</t>
  </si>
  <si>
    <t>esquema_1_parte</t>
  </si>
  <si>
    <t>esquema_considerando_1</t>
  </si>
  <si>
    <t>declaracion_partes</t>
  </si>
  <si>
    <t>conviene</t>
  </si>
  <si>
    <t>esquema_efectos</t>
  </si>
  <si>
    <t>esquema_fecha</t>
  </si>
  <si>
    <t>considerando_2</t>
  </si>
  <si>
    <t>desc_tipo_pago_cc_nom</t>
  </si>
  <si>
    <t>tipo_pago_cc_nom</t>
  </si>
  <si>
    <t>esquema_considerando_4</t>
  </si>
  <si>
    <t>el descuento a través de retención de nómina realizada en el territorio.</t>
  </si>
  <si>
    <t>desc_tipo_pago_nom</t>
  </si>
  <si>
    <t>tipo_pago_nom</t>
  </si>
  <si>
    <t>desc_tipo_pago_cc</t>
  </si>
  <si>
    <t>tipo_pago_cc</t>
  </si>
  <si>
    <t>caracter_firma_plural</t>
  </si>
  <si>
    <t>caracter_firma_singular</t>
  </si>
  <si>
    <t>Variable empresa</t>
  </si>
  <si>
    <t>Ejemplares</t>
  </si>
  <si>
    <t>CARÁCTER_FIRMANTES</t>
  </si>
  <si>
    <t>titulo_cc_nom_aa</t>
  </si>
  <si>
    <t>titulo_cc</t>
  </si>
  <si>
    <t>titulo_nom</t>
  </si>
  <si>
    <t>titulo_cc_nom</t>
  </si>
  <si>
    <t>de_otra_parte</t>
  </si>
  <si>
    <t>eco_aa_tripartitos</t>
  </si>
  <si>
    <t>Admin 1 Sexo</t>
  </si>
  <si>
    <t>Admin 2 Sexo</t>
  </si>
  <si>
    <t>M</t>
  </si>
  <si>
    <r>
      <t xml:space="preserve">La sociedad &lt;NOMBRE_COMPLETO_EMPRESA&gt; con sede en &lt;DIRECCION_EMPRESA&gt;, con el número de contribuyente N°&lt;NUMERO_CONSTRIBUYENTE&gt;,  representada en este acto por </t>
    </r>
    <r>
      <rPr>
        <b/>
        <sz val="9"/>
        <color theme="1"/>
        <rFont val="Arial"/>
        <family val="2"/>
      </rPr>
      <t>&lt;FIRMANTES&gt;</t>
    </r>
    <r>
      <rPr>
        <sz val="9"/>
        <color theme="1"/>
        <rFont val="Arial"/>
        <family val="2"/>
      </rPr>
      <t xml:space="preserve">, en su carácter de </t>
    </r>
    <r>
      <rPr>
        <b/>
        <sz val="9"/>
        <color theme="1"/>
        <rFont val="Arial"/>
        <family val="2"/>
      </rPr>
      <t>&lt;CARACTER_FIRMA&gt;</t>
    </r>
    <r>
      <rPr>
        <sz val="9"/>
        <color theme="1"/>
        <rFont val="Arial"/>
        <family val="2"/>
      </rPr>
      <t xml:space="preserve"> para los efectos legales del presente convenio se denominará en lo adelante &lt;NOMBRE_CORTO_EMPRESA&gt;.</t>
    </r>
  </si>
  <si>
    <t>Dado en Luanda a los &lt;FECHA_CTTO&gt;.</t>
  </si>
  <si>
    <t>DE OTRA PARTE</t>
  </si>
  <si>
    <t>y_de_otra_parte</t>
  </si>
  <si>
    <t>ALEIDA BETANCOURT REYES</t>
  </si>
  <si>
    <t>MEDICO ESPECIALISTA EN MEDICINA FISICA Y REHABILITACION</t>
  </si>
  <si>
    <t>ALEXANDER ALBERTO LLANOS GONZALEZ</t>
  </si>
  <si>
    <t>ALEXANDER MEDINA PEREIRA</t>
  </si>
  <si>
    <t>ALIOSMI CORDERO GONZALEZ</t>
  </si>
  <si>
    <t>AMPARO MATILDE MAZA GONZALEZ</t>
  </si>
  <si>
    <t>ARACELY ANECHINA MORALES</t>
  </si>
  <si>
    <t>BELKIS FABREGAS TRAVIESO</t>
  </si>
  <si>
    <t>DUNIA SANCHEZ CORVO</t>
  </si>
  <si>
    <t>ENDRYS DUARTE SANTANA</t>
  </si>
  <si>
    <t>MEDICO ESPECIALISTA EN NEUROCIRUGIA</t>
  </si>
  <si>
    <t>ERASMO JOSE VELAZCO PALACIO</t>
  </si>
  <si>
    <t>EULICES EVELIO MARIN GARCIAS</t>
  </si>
  <si>
    <t>FABIAN PEREZ HERNANDEZ</t>
  </si>
  <si>
    <t>FRANKLIN GONZALEZ MILAN</t>
  </si>
  <si>
    <t>GELSY AIMEE CAMPA SEGURA</t>
  </si>
  <si>
    <t>GLEDYS LETICIA SANCHEZ ALDERETE</t>
  </si>
  <si>
    <t>HUMBERTO LUIS RAMOS GONZALEZ</t>
  </si>
  <si>
    <t>IDA REYES FERNANDEZ</t>
  </si>
  <si>
    <t>IGNACIO CORTES GAMBOA</t>
  </si>
  <si>
    <t>IGNACIO ESPINOSA PEREZ</t>
  </si>
  <si>
    <t>IRINA REYNA MONTERO</t>
  </si>
  <si>
    <t>ISMELDA PUPO PAIFFER</t>
  </si>
  <si>
    <t>JORGE LUIS MATA VIERA</t>
  </si>
  <si>
    <t>MEDICO ESPECIALISTA EN PSIQUIATRIA</t>
  </si>
  <si>
    <t>JORGE PEREZ MACHADO</t>
  </si>
  <si>
    <t>PROFESOR HISTOLOGIA</t>
  </si>
  <si>
    <t>JUAN CARLOS CALA SOLOZABAL</t>
  </si>
  <si>
    <t>JUAN NUNEZ CHACON</t>
  </si>
  <si>
    <t>TERMINO MISIÓN</t>
  </si>
  <si>
    <t>JUAN RODOLFO QUINTERO CABRERA</t>
  </si>
  <si>
    <t>JULIA SILVA CALA</t>
  </si>
  <si>
    <t>JUSTO LUIS PRIETO CABRERA</t>
  </si>
  <si>
    <t>ASISTENTE  CONSULTORIA ESPECIALIZADA</t>
  </si>
  <si>
    <t>KENAIS MONTEJO CARMENATE</t>
  </si>
  <si>
    <t>MEDICO ESPECIALISTA EN ANESTESIOLOGIA Y REANIMACION</t>
  </si>
  <si>
    <t>KENIA GOMEZ ORTEGA</t>
  </si>
  <si>
    <t>MEDICO ESPECIALISTA EN OFTALMOLOGIA</t>
  </si>
  <si>
    <t>SIMPORTEX CLINICA MULTIPERFIL</t>
  </si>
  <si>
    <t>LAZARA DUENAS HERNANDEZ</t>
  </si>
  <si>
    <t>LICENCIADO EN FARMACIA</t>
  </si>
  <si>
    <t>LESTER OCIEL MONTORO PUENTES</t>
  </si>
  <si>
    <t>LETICIA DE LA CARIDAD DIAZ GUERRA</t>
  </si>
  <si>
    <t>MAIRALES TITO FOURNIER</t>
  </si>
  <si>
    <t>MAIRELYS BERMUDEZ HERRERA</t>
  </si>
  <si>
    <t>MARCOS SANTOS REYES SANTOS</t>
  </si>
  <si>
    <t>MARIA ALINA VALON FERRER</t>
  </si>
  <si>
    <t>MEDICO ESPECIALISTA EN DERMATOLOGIA</t>
  </si>
  <si>
    <t>MARIA ELENA PUPO TEJEDA</t>
  </si>
  <si>
    <t>PROFESOR FISIOLOGIA</t>
  </si>
  <si>
    <t>MIGUEL ALFONSO RODRIGUEZ PEREZ</t>
  </si>
  <si>
    <t>MIGUEL ANGEL DEL RIO LOPEZ</t>
  </si>
  <si>
    <t>NEREA INES VALDES DELGADO</t>
  </si>
  <si>
    <t>NORIS EMILIA GARCIA ORTIZ</t>
  </si>
  <si>
    <t>MEDICO ESPECIALISTA (ASESOR DEL PROGRAMA SALUD REPRODUCTIVO)</t>
  </si>
  <si>
    <t>ORBE LUIS LEGUEN RODRIGUEZ</t>
  </si>
  <si>
    <t>ASESOR DEL DIRECTOR DE CECOMA</t>
  </si>
  <si>
    <t>ORLANDO TRUJILLO MUÑOZ</t>
  </si>
  <si>
    <t>ESPECIALISTA 1ERA ING ELECTRICO</t>
  </si>
  <si>
    <t>OSMAR MARINO GOMEZ</t>
  </si>
  <si>
    <t>OSNEL VENZANT VERDECIA</t>
  </si>
  <si>
    <t>MEDICO ESPECIALISTA EN MEDICINA INTENSIVA (PEDIATRICA)</t>
  </si>
  <si>
    <t>REINALDO ENRIQUE BORROTO DUEÑAS</t>
  </si>
  <si>
    <t>ESP. 1RA EN SOFTWARE</t>
  </si>
  <si>
    <t>REYNIER PALACIO CAMPOS</t>
  </si>
  <si>
    <t>ROBERTO FERNANDEZ CORDOVES</t>
  </si>
  <si>
    <t>DIRECTOR ASISTENCIA TECNICA</t>
  </si>
  <si>
    <t>ROSARIO CABRERA MENDOZA</t>
  </si>
  <si>
    <t>SABINA MAYLING CASTILLO CISNEROS</t>
  </si>
  <si>
    <t>SANDRA MORE ALONSO</t>
  </si>
  <si>
    <t>VIRGINIA CONCEPCION GONZALEZ</t>
  </si>
  <si>
    <t>WALDO JORGE GONZALEZ MARTINEZ</t>
  </si>
  <si>
    <t>WILDO HERNANDEZ LORIGA</t>
  </si>
  <si>
    <t>WILFREDO EUTIMIO ALVAREZ GUILLAUME</t>
  </si>
  <si>
    <t>YANELIS BARDAJI NAPOLES</t>
  </si>
  <si>
    <t>YOLANDA GOMEZ AMOROS</t>
  </si>
  <si>
    <t>YORDANIS ALVAREZ ROS</t>
  </si>
  <si>
    <t>REGISTRO OFFLINE PARA EL DESPACHO DE CARGA  VUELO 22/05/2021</t>
  </si>
  <si>
    <t>Administrador Delegado</t>
  </si>
  <si>
    <t>esquema_considerando_5</t>
  </si>
  <si>
    <t>Aseguran hallarse en pleno goce y ejercicio de sus derechos y, reconociendo recíprocamente la personalidad, capacidad, carácter y representación con que comparecen, deciden suscribir el presente Convenio de Pago.</t>
  </si>
  <si>
    <t>conviene_2</t>
  </si>
  <si>
    <t>&lt;ETIQUETA_CONVIENE_1&gt;: El cooperante manifiesta su voluntad de liquidar el pago correspondiente a parte de su despacho de su menaje de casa, realizado con fecha &lt;FECHA_DESPACHO&gt;,  &lt;TIPO_PAGO&gt;</t>
  </si>
  <si>
    <t>LEYSI AMOROS FREIRE</t>
  </si>
  <si>
    <t>PROFESOR DE TELECOMUNICACIONES</t>
  </si>
  <si>
    <t>MAGELA CARIDAD CARTAYA GIL</t>
  </si>
  <si>
    <t>ALEXIS MANUEL GONZALEZ LOPEZ</t>
  </si>
  <si>
    <t>EVACUADO</t>
  </si>
  <si>
    <t>importe_descontado_usd</t>
  </si>
  <si>
    <t>importe_real_akz</t>
  </si>
  <si>
    <t>cuotas_reservadas_usd</t>
  </si>
  <si>
    <t>cuotas_reservadas_akz</t>
  </si>
  <si>
    <t>periodos_reservados</t>
  </si>
  <si>
    <t>tasas</t>
  </si>
  <si>
    <t>944.00 | 479.00 | 964.00</t>
  </si>
  <si>
    <t>592832.00 | 315182.00 | 605392.00</t>
  </si>
  <si>
    <t>3/2021 | 5/2021 | 4/2021</t>
  </si>
  <si>
    <t>628.00 | 658.00 | 628.00</t>
  </si>
  <si>
    <t>/</t>
  </si>
  <si>
    <t>959.00 | 479.00 | 964.00</t>
  </si>
  <si>
    <t>602252.00 | 315182.00 | 605392.00</t>
  </si>
  <si>
    <t>964.00 | 479.00 | 964.00</t>
  </si>
  <si>
    <t>605392.00 | 315182.00 | 605392.00</t>
  </si>
  <si>
    <t>300.00 | 91.67 | 300.00</t>
  </si>
  <si>
    <t>188400.00 | 60318.86 | 188400.00</t>
  </si>
  <si>
    <t>1000.00 | 500.00 | 1000.00</t>
  </si>
  <si>
    <t>628000.00 | 329000.00 | 628000.00</t>
  </si>
  <si>
    <t>668.00 | 337.17 | 668.00</t>
  </si>
  <si>
    <t>419504.00 | 221857.86 | 419504.00</t>
  </si>
  <si>
    <t>942.00 | 500.00 | 947.00</t>
  </si>
  <si>
    <t>591576.00 | 329000.00 | 594716.00</t>
  </si>
  <si>
    <t>911.00 | 479.00 | 911.00</t>
  </si>
  <si>
    <t>572108.00 | 315182.00 | 572108.00</t>
  </si>
  <si>
    <t>911.00 | 333.00</t>
  </si>
  <si>
    <t>572108.00 | 209124.00</t>
  </si>
  <si>
    <t>3/2021 | 4/2021</t>
  </si>
  <si>
    <t>628.00 | 628.00</t>
  </si>
  <si>
    <t>479.00 | 911.00</t>
  </si>
  <si>
    <t>315182.00 | 572108.00</t>
  </si>
  <si>
    <t>5/2021 | 4/2021</t>
  </si>
  <si>
    <t>658.00 | 628.00</t>
  </si>
  <si>
    <t>697.00 | 697.00</t>
  </si>
  <si>
    <t>437716.00 | 437716.00</t>
  </si>
  <si>
    <t>525.00 | 253.83 | 525.00</t>
  </si>
  <si>
    <t>329700.00 | 167020.14 | 329700.00</t>
  </si>
  <si>
    <t>911.00 | 911.00</t>
  </si>
  <si>
    <t>572108.00 | 572108.00</t>
  </si>
  <si>
    <t>947.00 | 350.00</t>
  </si>
  <si>
    <t>594716.00 | 219800.00</t>
  </si>
  <si>
    <t>947.00 | 947.00</t>
  </si>
  <si>
    <t>594716.00 | 594716.00</t>
  </si>
  <si>
    <t>900.00 | 479.00 | 900.00</t>
  </si>
  <si>
    <t>565200.00 | 315182.00 | 565200.00</t>
  </si>
  <si>
    <t>721.00 | 337.17 | 721.00</t>
  </si>
  <si>
    <t>452788.00 | 221857.86 | 452788.00</t>
  </si>
  <si>
    <t>990.00 | 500.00 | 1000.00</t>
  </si>
  <si>
    <t>621720.00 | 329000.00 | 628000.00</t>
  </si>
  <si>
    <t>337.17 | 721.00</t>
  </si>
  <si>
    <t>221857.86 | 452788.00</t>
  </si>
  <si>
    <t>697.00 | 200.00 | 697.00</t>
  </si>
  <si>
    <t>437716.00 | 131600.00 | 437716.00</t>
  </si>
  <si>
    <t>947.00 | 500.00 | 947.00</t>
  </si>
  <si>
    <t>594716.00 | 329000.00 | 594716.00</t>
  </si>
  <si>
    <t>450.00 | 179.17 | 450.00</t>
  </si>
  <si>
    <t>282600.00 | 117893.86 | 282600.00</t>
  </si>
  <si>
    <t>692.00 | 354.17 | 697.00</t>
  </si>
  <si>
    <t>434576.00 | 233043.86 | 437716.00</t>
  </si>
  <si>
    <t>697.00 | 354.17 | 697.00</t>
  </si>
  <si>
    <t>437716.00 | 233043.86 | 437716.00</t>
  </si>
  <si>
    <t>502.00 | 238.83 | 502.00</t>
  </si>
  <si>
    <t>315256.00 | 157150.14 | 315256.00</t>
  </si>
  <si>
    <t>Importe reservado AKZ  por nómina</t>
  </si>
  <si>
    <t xml:space="preserve"> 964.00 | 624.00</t>
  </si>
  <si>
    <t>605392.00 | 410592.00</t>
  </si>
  <si>
    <t xml:space="preserve"> 4/2021 | 5/2021</t>
  </si>
  <si>
    <t xml:space="preserve"> 628.00 | 658.00</t>
  </si>
  <si>
    <t xml:space="preserve"> 4/2021</t>
  </si>
  <si>
    <t>TASA DESPACHANTE (m3)</t>
  </si>
  <si>
    <t>Total m3</t>
  </si>
  <si>
    <t>Total m3 Angola</t>
  </si>
  <si>
    <t>Total m3 Cuba</t>
  </si>
  <si>
    <t>Valor a pagar x m3 (según los 58 m3 útil):</t>
  </si>
  <si>
    <t>Límite de m3 por contenedor:</t>
  </si>
  <si>
    <t>Importe pendiente de pago</t>
  </si>
  <si>
    <t xml:space="preserve">Total m3 </t>
  </si>
  <si>
    <t>CONTENEDOR</t>
  </si>
  <si>
    <t>Total de kg</t>
  </si>
  <si>
    <t>Total general</t>
  </si>
  <si>
    <t>Cantidad máxima de contenedores x vuelo:</t>
  </si>
  <si>
    <t>% paquetes por cooperantes</t>
  </si>
  <si>
    <t>m3 x colaborador</t>
  </si>
  <si>
    <t>Plus para completar contenedor AKZ</t>
  </si>
  <si>
    <t>CONTENEDORES</t>
  </si>
  <si>
    <t>REGISTRO PARA PAGO DE MENAJE POR ENVIO MARITIMO</t>
  </si>
  <si>
    <t>Cooperantes por contenedor</t>
  </si>
  <si>
    <t>Valor kg según despachante anterior</t>
  </si>
  <si>
    <t>COOPERANTES POR CONTENEDORES</t>
  </si>
  <si>
    <t>RESUMEN  POR CONTENEDORES</t>
  </si>
  <si>
    <t>Cooperantes</t>
  </si>
  <si>
    <t>Suma</t>
  </si>
  <si>
    <t>Fecha de despacho</t>
  </si>
  <si>
    <t>esquema_considerando_3</t>
  </si>
  <si>
    <t>Solicitante A</t>
  </si>
  <si>
    <t>Auxiliar</t>
  </si>
  <si>
    <t>FIN DE CONTRATO</t>
  </si>
  <si>
    <t>SUPLEMENTO 2</t>
  </si>
  <si>
    <t>SUPLEMENTO 3</t>
  </si>
  <si>
    <t>SUPLEMENTO 4</t>
  </si>
  <si>
    <t>SUPLEMENTO 5</t>
  </si>
  <si>
    <t>SUPLEMENTO 6</t>
  </si>
  <si>
    <t>SUPLEMENTO 7</t>
  </si>
  <si>
    <t>SUPLEMENTO 8</t>
  </si>
  <si>
    <t>SUPLEMENTO 9</t>
  </si>
  <si>
    <t>SUPLEMENTO 10</t>
  </si>
  <si>
    <t>SUPLEMENTO 11</t>
  </si>
  <si>
    <t>SUPLEMENTO 12</t>
  </si>
  <si>
    <t>SUPLEMENTO 13</t>
  </si>
  <si>
    <t>SUPLEMENTO 14</t>
  </si>
  <si>
    <t>SUPLEMENTO 15</t>
  </si>
  <si>
    <t>SUPLEMENTO 16</t>
  </si>
  <si>
    <t>SUPLEMENTO 17</t>
  </si>
  <si>
    <t>SUPLEMENTO 18</t>
  </si>
  <si>
    <t>SUPLEMENTO 19</t>
  </si>
  <si>
    <t>SUPLEMENTO 20</t>
  </si>
  <si>
    <t>SUPLEMENTO 21</t>
  </si>
  <si>
    <t>SUPLEMENTO 22</t>
  </si>
  <si>
    <t>SUPLEMENTO 23</t>
  </si>
  <si>
    <t>SUPLEMENTO 24</t>
  </si>
  <si>
    <t>Importe reservado   por nómina</t>
  </si>
  <si>
    <t xml:space="preserve">Importe </t>
  </si>
  <si>
    <t xml:space="preserve">Total a pagar </t>
  </si>
  <si>
    <t>A PAGAR AL CONTADO</t>
  </si>
  <si>
    <t>A PAGAR EN EL EXTERIOR</t>
  </si>
  <si>
    <t>Valor MONEDA DE CAMBIO</t>
  </si>
  <si>
    <t>Importe por importación X m3</t>
  </si>
  <si>
    <t>Valor a pagar x Contenedor de 40 pie:</t>
  </si>
  <si>
    <t>Tasa de cambio:</t>
  </si>
  <si>
    <t>Valor a pagar en el exterior x Contenedor:</t>
  </si>
  <si>
    <t>Valor a pagar x m3  (según los 58 m3 útil):</t>
  </si>
  <si>
    <t>Solicitante B</t>
  </si>
  <si>
    <t>Solicitante C</t>
  </si>
  <si>
    <t>Solicitante D</t>
  </si>
  <si>
    <t>Solicitante E</t>
  </si>
  <si>
    <t>Solicitante F</t>
  </si>
  <si>
    <t>Solicitante G</t>
  </si>
  <si>
    <t>Solicitante H</t>
  </si>
  <si>
    <t>Solicitante I</t>
  </si>
  <si>
    <t>Solicitante J</t>
  </si>
  <si>
    <t>Solicitante K</t>
  </si>
  <si>
    <t>Solicitante L</t>
  </si>
  <si>
    <t>Solicitante M</t>
  </si>
  <si>
    <t>Solicitante N</t>
  </si>
  <si>
    <t>Solicitante Ñ</t>
  </si>
  <si>
    <t>Solicitante O</t>
  </si>
  <si>
    <t>Solicitante Q</t>
  </si>
  <si>
    <t>Solicitante R</t>
  </si>
  <si>
    <t>Solicitante S</t>
  </si>
  <si>
    <t>Solicitante T</t>
  </si>
  <si>
    <t>Solicitante U</t>
  </si>
  <si>
    <t>Solicitante V</t>
  </si>
  <si>
    <t>Solicitante W</t>
  </si>
  <si>
    <t>EX</t>
  </si>
  <si>
    <t>Empresa X</t>
  </si>
  <si>
    <t>Admin1</t>
  </si>
  <si>
    <t>Admin2</t>
  </si>
  <si>
    <t>Dirección1</t>
  </si>
  <si>
    <t>EY</t>
  </si>
  <si>
    <t>Empresa Y</t>
  </si>
  <si>
    <t>Dirección2</t>
  </si>
  <si>
    <t>EZ</t>
  </si>
  <si>
    <t>Empresa Z</t>
  </si>
  <si>
    <t>Direccion3</t>
  </si>
  <si>
    <t>EW</t>
  </si>
  <si>
    <t>Empresa W</t>
  </si>
  <si>
    <t>Dirección 4</t>
  </si>
  <si>
    <t>Dirección Proyectos</t>
  </si>
  <si>
    <t>Dirección I+D</t>
  </si>
  <si>
    <t>Dirección Formación</t>
  </si>
  <si>
    <t>DE OTRA PARTE: &lt;NOMBRE_COOPERANTE&gt;, con identidad permanente número &lt;CI_COOPERANTE&gt;, solicitante contratado para prestar servicios de asistencia técnica como &lt;POSICION_COOPERANTE&gt;, a través de contrato individual de trabajo No. &lt;EXPEDIENTE&gt; de fecha &lt;FECHA_ADMISION&gt;, en el que se define como salario &lt;SALARIO&gt;   se denominará en lo adelante, Solicitante.</t>
  </si>
  <si>
    <r>
      <t xml:space="preserve">1. La dirección decidió que un grupo de solicitantes deben ser objeto de despacho en calidad de menaje de casa sin que cuenten con suficiente disponibilidad económica para asumir el pago, autorizándose para afrontar el mismo </t>
    </r>
    <r>
      <rPr>
        <b/>
        <sz val="9"/>
        <color theme="1"/>
        <rFont val="Arial"/>
        <family val="2"/>
      </rPr>
      <t>&lt;DESC_TIPO_PAGO&gt;</t>
    </r>
  </si>
  <si>
    <t>2. Dentro del citado grupo se encuentra el Soliciante</t>
  </si>
  <si>
    <t>3. El Cooperante despachó en el territorio &lt;TOTAL_UNIDADES_DESPACHADOS&gt; m3 debiendo pagar por concepto de menaje  $&lt;TOTAL_A_PAGAR&gt;.</t>
  </si>
  <si>
    <t>4. Ha sido autorizado que el Cooperante pague parte del despacho de su menaje en el territorio por tener recursos económicos que se lo permitan en $&lt;TOTAL_MN_PAGADO&gt;.</t>
  </si>
  <si>
    <t xml:space="preserve">No. 25451/2018.____ </t>
  </si>
  <si>
    <r>
      <t xml:space="preserve">A los efectos de la ejecución de lo pactado, se otorgan </t>
    </r>
    <r>
      <rPr>
        <b/>
        <sz val="9"/>
        <color theme="1"/>
        <rFont val="Arial"/>
        <family val="2"/>
      </rPr>
      <t>&lt;EJEMPLARES&gt;</t>
    </r>
    <r>
      <rPr>
        <sz val="9"/>
        <color theme="1"/>
        <rFont val="Arial"/>
        <family val="2"/>
      </rPr>
      <t xml:space="preserve"> ejemplares a un mismo tenor y efecto del presente Convenio, entregándose uno al </t>
    </r>
    <r>
      <rPr>
        <b/>
        <sz val="9"/>
        <color theme="1"/>
        <rFont val="Arial"/>
        <family val="2"/>
      </rPr>
      <t>Solicitante</t>
    </r>
    <r>
      <rPr>
        <sz val="9"/>
        <color theme="1"/>
        <rFont val="Arial"/>
        <family val="2"/>
      </rPr>
      <t xml:space="preserve"> remitiéndose un segundo para la </t>
    </r>
    <r>
      <rPr>
        <b/>
        <sz val="9"/>
        <color theme="1"/>
        <rFont val="Arial"/>
        <family val="2"/>
      </rPr>
      <t>&lt;FISCALIZADOR_CTTO&gt;</t>
    </r>
    <r>
      <rPr>
        <sz val="9"/>
        <color theme="1"/>
        <rFont val="Arial"/>
        <family val="2"/>
      </rPr>
      <t xml:space="preserve"> de &lt;NOMBRE_CORTO_EMPRESA&gt;</t>
    </r>
    <r>
      <rPr>
        <b/>
        <sz val="9"/>
        <color theme="1"/>
        <rFont val="Arial"/>
        <family val="2"/>
      </rPr>
      <t>&lt;ECO_AA_TRIPARTITOS&gt;</t>
    </r>
    <r>
      <rPr>
        <sz val="9"/>
        <color theme="1"/>
        <rFont val="Arial"/>
        <family val="2"/>
      </rPr>
      <t xml:space="preserve"> y uno a la Dirección Económica Financiera.</t>
    </r>
  </si>
  <si>
    <t>CON DESCUENTO EN EL TERRITORIO Y EN EL EXTERIOR</t>
  </si>
  <si>
    <t>CON DESCUENTO EN EXTERIOR</t>
  </si>
  <si>
    <t xml:space="preserve">CON DESCUENTO EN EXTERIOR </t>
  </si>
  <si>
    <t>el descuento en la cuenta de depósito abierta a nombre de cada uno, teniendo en cuenta el importe abonado a través de retención de nómina realizada en el territorio.</t>
  </si>
  <si>
    <t>el descuento en la cuenta de depósito abierta a nombre de cada uno.</t>
  </si>
  <si>
    <t>, un tercero para la Dirección Económica.</t>
  </si>
  <si>
    <t>&lt;ETIQUETA_CONSIDERANDO_4&gt; Ha sido autorizado que al Solicitante se le realice por &lt;NOMBRE_CORTO_EMPRESA&gt; una retención por nómina de $&lt;TOTAL_RETENIDO_NOM&gt;.</t>
  </si>
  <si>
    <t>Segundo: Que &lt;NOMBRE_CORTO_EMPRESA&gt; reintegra al Solicitante el valor de $&lt;TOTAL_A_DEVOLVER&gt;  , responsabilizándose con su envío a la cuenta de depósito abierta a favor del Solicitante.</t>
  </si>
  <si>
    <t>por el valor de $&lt;TOTAL_PAGO_EXTERIOR&gt;  , mediante descuento por la Dirección Económica Financiera.</t>
  </si>
  <si>
    <r>
      <t>mediante descuento por reteción de nómina equivalente a $</t>
    </r>
    <r>
      <rPr>
        <b/>
        <sz val="10"/>
        <color theme="1"/>
        <rFont val="Arial"/>
        <family val="2"/>
      </rPr>
      <t>&lt;TOTAL_A_DESCONTAR_RET&gt;.</t>
    </r>
  </si>
  <si>
    <t xml:space="preserve">por el valor de $&lt;TOTAL_PAGO_EXTERIOR&gt;  , mediante descuento por la Dirección Económica Financiera de la cuenta de depósito abierta en la  a su favor. </t>
  </si>
  <si>
    <r>
      <t>DE UNA PARTE</t>
    </r>
    <r>
      <rPr>
        <sz val="8"/>
        <color theme="1"/>
        <rFont val="Arial"/>
        <family val="2"/>
      </rPr>
      <t xml:space="preserve">: La sociedad Empresa X con sede en Dirección1, con el número de contribuyente N°Dirección1,  representada en este acto por  los Srs. Admin1 y Admin2, en su carácter de Administradores para los efectos legales del presente convenio se denominará en lo adelante EX.
</t>
    </r>
    <r>
      <rPr>
        <b/>
        <sz val="8"/>
        <color theme="1"/>
        <rFont val="Arial"/>
        <family val="2"/>
      </rPr>
      <t>DE OTRA PARTE</t>
    </r>
    <r>
      <rPr>
        <sz val="8"/>
        <color theme="1"/>
        <rFont val="Arial"/>
        <family val="2"/>
      </rPr>
      <t xml:space="preserve">: Solicitante A, con identidad permanente número 60092906054, solicitante contratado para prestar servicios de asistencia técnica como Auxiliar, a través de contrato individual de trabajo No. 25451/2018 de fecha 1 de agosto de 2018, en el que se define como salario 1.200,00   se denominará en lo adelante, Solicitante.
</t>
    </r>
    <r>
      <rPr>
        <b/>
        <sz val="8"/>
        <color theme="1"/>
        <rFont val="Arial"/>
        <family val="2"/>
      </rPr>
      <t>CONSIDERANDO QUE:</t>
    </r>
    <r>
      <rPr>
        <sz val="8"/>
        <color theme="1"/>
        <rFont val="Arial"/>
        <family val="2"/>
      </rPr>
      <t xml:space="preserve">
1. La dirección decidió que un grupo de solicitantes deben ser objeto de despacho en calidad de menaje de casa sin que cuenten con suficiente disponibilidad económica para asumir el pago, autorizándose para afrontar el mismo el descuento en la cuenta de depósito abierta a nombre de cada uno.
2. Dentro del citado grupo se encuentra el Soliciante
3. El Cooperante despachó en el territorio 4,60 m3 debiendo pagar por concepto de menaje  $2.163.433,20.
</t>
    </r>
  </si>
  <si>
    <r>
      <t>AMBAS PARTES</t>
    </r>
    <r>
      <rPr>
        <sz val="8"/>
        <color theme="1"/>
        <rFont val="Arial"/>
        <family val="2"/>
      </rPr>
      <t xml:space="preserve">: Aseguran hallarse en pleno goce y ejercicio de sus derechos y, reconociendo recíprocamente la personalidad, capacidad, carácter y representación con que comparecen, deciden suscribir el presente Convenio de Pago.
</t>
    </r>
    <r>
      <rPr>
        <b/>
        <sz val="8"/>
        <color theme="1"/>
        <rFont val="Arial"/>
        <family val="2"/>
      </rPr>
      <t>CONVIENEN:</t>
    </r>
    <r>
      <rPr>
        <sz val="8"/>
        <color theme="1"/>
        <rFont val="Arial"/>
        <family val="2"/>
      </rPr>
      <t xml:space="preserve">
</t>
    </r>
    <r>
      <rPr>
        <b/>
        <sz val="8"/>
        <color theme="1"/>
        <rFont val="Arial"/>
        <family val="2"/>
      </rPr>
      <t>Único</t>
    </r>
    <r>
      <rPr>
        <sz val="8"/>
        <color theme="1"/>
        <rFont val="Arial"/>
        <family val="2"/>
      </rPr>
      <t xml:space="preserve">: El cooperante manifiesta su voluntad de liquidar el pago correspondiente a parte de su despacho de su menaje de casa, realizado con fecha 22 del mes de junio de 2021,  por el valor de $535,69  , mediante descuento por la Dirección Económica Financiera de la cuenta de depósito abierta en la  a su favor.
A los efectos de la ejecución de lo pactado, se otorgan 3 ejemplares a un mismo tenor y efecto del presente Convenio, entregándose uno al Solicitante remitiéndose un segundo para la Dirección Económica de EX y uno a la Dirección Económica Financiera.
Dado en Luanda a los 22 del mes de junio de 2021.
Por EX ________________ 
Por EX ________________ 
Por Cooperante ________________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</si>
</sst>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 #,##0.00_-;_-* &quot;-&quot;??_-;_-@_-"/>
    <numFmt numFmtId="164" formatCode="_-* #,##0.0000_-;\-* #,##0.0000_-;_-* &quot;-&quot;??_-;_-@_-"/>
    <numFmt numFmtId="165" formatCode="_-* #,##0_-;\-* #,##0_-;_-* &quot;-&quot;??_-;_-@_-"/>
  </numFmts>
  <fonts count="44" x14ac:knownFonts="1">
    <font>
      <sz val="11"/>
      <color theme="1"/>
      <name val="Calibri"/>
      <family val="2"/>
      <scheme val="minor"/>
    </font>
    <font>
      <b/>
      <sz val="11"/>
      <color theme="1"/>
      <name val="Calibri"/>
      <family val="2"/>
      <scheme val="minor"/>
    </font>
    <font>
      <b/>
      <sz val="11"/>
      <color rgb="FFFF0000"/>
      <name val="Calibri"/>
      <family val="2"/>
      <scheme val="minor"/>
    </font>
    <font>
      <b/>
      <sz val="14"/>
      <color theme="1"/>
      <name val="Calibri"/>
      <family val="2"/>
      <scheme val="minor"/>
    </font>
    <font>
      <b/>
      <sz val="16"/>
      <color theme="1"/>
      <name val="Calibri"/>
      <family val="2"/>
      <scheme val="minor"/>
    </font>
    <font>
      <sz val="10"/>
      <color theme="1"/>
      <name val="Calibri"/>
      <family val="2"/>
      <scheme val="minor"/>
    </font>
    <font>
      <b/>
      <sz val="10"/>
      <color theme="1"/>
      <name val="Calibri"/>
      <family val="2"/>
      <scheme val="minor"/>
    </font>
    <font>
      <b/>
      <sz val="10"/>
      <color indexed="8"/>
      <name val="Calibri"/>
      <family val="2"/>
      <scheme val="minor"/>
    </font>
    <font>
      <b/>
      <sz val="14"/>
      <color indexed="8"/>
      <name val="Calibri"/>
      <family val="2"/>
      <scheme val="minor"/>
    </font>
    <font>
      <b/>
      <sz val="11"/>
      <color theme="2" tint="-0.89999084444715716"/>
      <name val="Calibri"/>
      <family val="2"/>
      <scheme val="minor"/>
    </font>
    <font>
      <b/>
      <sz val="10"/>
      <color rgb="FFC00000"/>
      <name val="Calibri"/>
      <family val="2"/>
      <scheme val="minor"/>
    </font>
    <font>
      <sz val="11"/>
      <color theme="1"/>
      <name val="Calibri"/>
      <family val="2"/>
      <scheme val="minor"/>
    </font>
    <font>
      <sz val="9"/>
      <color theme="1"/>
      <name val="Arial"/>
      <family val="2"/>
    </font>
    <font>
      <b/>
      <sz val="9"/>
      <color theme="1"/>
      <name val="Arial"/>
      <family val="2"/>
    </font>
    <font>
      <sz val="9"/>
      <name val="Arial"/>
      <family val="2"/>
    </font>
    <font>
      <b/>
      <sz val="9"/>
      <name val="Arial"/>
      <family val="2"/>
    </font>
    <font>
      <u/>
      <sz val="9"/>
      <color theme="1"/>
      <name val="Arial"/>
      <family val="2"/>
    </font>
    <font>
      <b/>
      <sz val="11"/>
      <color rgb="FFC00000"/>
      <name val="Calibri"/>
      <family val="2"/>
      <scheme val="minor"/>
    </font>
    <font>
      <b/>
      <sz val="9"/>
      <color rgb="FFFF0000"/>
      <name val="Arial"/>
      <family val="2"/>
    </font>
    <font>
      <sz val="9"/>
      <color theme="1"/>
      <name val="Calibri"/>
      <family val="2"/>
      <scheme val="minor"/>
    </font>
    <font>
      <b/>
      <sz val="11"/>
      <name val="Calibri"/>
      <family val="2"/>
      <scheme val="minor"/>
    </font>
    <font>
      <b/>
      <sz val="11"/>
      <color theme="7" tint="-0.249977111117893"/>
      <name val="Calibri"/>
      <family val="2"/>
      <scheme val="minor"/>
    </font>
    <font>
      <b/>
      <sz val="11"/>
      <color theme="9" tint="-0.249977111117893"/>
      <name val="Calibri"/>
      <family val="2"/>
      <scheme val="minor"/>
    </font>
    <font>
      <sz val="10"/>
      <color theme="1"/>
      <name val="Arial"/>
      <family val="2"/>
    </font>
    <font>
      <b/>
      <sz val="11"/>
      <color rgb="FF000000"/>
      <name val="Calibri"/>
      <family val="2"/>
    </font>
    <font>
      <sz val="11"/>
      <color rgb="FFC00000"/>
      <name val="Calibri"/>
      <family val="2"/>
      <scheme val="minor"/>
    </font>
    <font>
      <b/>
      <sz val="9"/>
      <color rgb="FFC00000"/>
      <name val="Arial"/>
      <family val="2"/>
    </font>
    <font>
      <sz val="8"/>
      <color theme="1"/>
      <name val="Arial"/>
      <family val="2"/>
    </font>
    <font>
      <b/>
      <sz val="8"/>
      <color theme="1"/>
      <name val="Arial"/>
      <family val="2"/>
    </font>
    <font>
      <b/>
      <sz val="9"/>
      <color theme="1"/>
      <name val="Calibri"/>
      <family val="2"/>
      <scheme val="minor"/>
    </font>
    <font>
      <b/>
      <sz val="10"/>
      <color theme="1"/>
      <name val="Arial"/>
      <family val="2"/>
    </font>
    <font>
      <sz val="10"/>
      <name val="Arial"/>
      <family val="2"/>
    </font>
    <font>
      <b/>
      <sz val="11"/>
      <color theme="0"/>
      <name val="Calibri"/>
      <family val="2"/>
      <scheme val="minor"/>
    </font>
    <font>
      <sz val="10"/>
      <color indexed="8"/>
      <name val="MS Sans Serif"/>
    </font>
    <font>
      <b/>
      <sz val="9"/>
      <color indexed="8"/>
      <name val="Arial"/>
      <family val="2"/>
    </font>
    <font>
      <sz val="11"/>
      <name val="Calibri"/>
      <family val="2"/>
      <scheme val="minor"/>
    </font>
    <font>
      <b/>
      <sz val="10"/>
      <color theme="0"/>
      <name val="Calibri"/>
      <family val="2"/>
      <scheme val="minor"/>
    </font>
    <font>
      <sz val="11"/>
      <color rgb="FF006100"/>
      <name val="Calibri"/>
      <family val="2"/>
      <scheme val="minor"/>
    </font>
    <font>
      <b/>
      <sz val="9"/>
      <color indexed="81"/>
      <name val="Tahoma"/>
      <family val="2"/>
    </font>
    <font>
      <b/>
      <sz val="10"/>
      <name val="Calibri"/>
      <family val="2"/>
      <scheme val="minor"/>
    </font>
    <font>
      <b/>
      <sz val="11"/>
      <color theme="2" tint="-0.749992370372631"/>
      <name val="Calibri"/>
      <family val="2"/>
      <scheme val="minor"/>
    </font>
    <font>
      <sz val="9"/>
      <color indexed="81"/>
      <name val="Tahoma"/>
      <family val="2"/>
    </font>
    <font>
      <sz val="11"/>
      <color indexed="8"/>
      <name val="Calibri"/>
      <family val="2"/>
      <scheme val="minor"/>
    </font>
    <font>
      <sz val="8"/>
      <name val="Calibri"/>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0"/>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5" tint="-0.499984740745262"/>
        <bgColor indexed="64"/>
      </patternFill>
    </fill>
    <fill>
      <patternFill patternType="solid">
        <fgColor rgb="FFFFFF00"/>
        <bgColor indexed="64"/>
      </patternFill>
    </fill>
    <fill>
      <patternFill patternType="solid">
        <fgColor rgb="FFC00000"/>
        <bgColor indexed="64"/>
      </patternFill>
    </fill>
    <fill>
      <patternFill patternType="solid">
        <fgColor rgb="FFC6EFCE"/>
      </patternFill>
    </fill>
    <fill>
      <patternFill patternType="solid">
        <fgColor theme="4" tint="0.59999389629810485"/>
        <bgColor indexed="64"/>
      </patternFill>
    </fill>
  </fills>
  <borders count="44">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diagonal/>
    </border>
    <border>
      <left/>
      <right style="medium">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medium">
        <color rgb="FFC00000"/>
      </left>
      <right/>
      <top style="medium">
        <color rgb="FFC00000"/>
      </top>
      <bottom/>
      <diagonal/>
    </border>
    <border>
      <left/>
      <right style="medium">
        <color indexed="64"/>
      </right>
      <top style="medium">
        <color rgb="FFC00000"/>
      </top>
      <bottom/>
      <diagonal/>
    </border>
    <border>
      <left style="medium">
        <color indexed="64"/>
      </left>
      <right/>
      <top style="medium">
        <color rgb="FFC00000"/>
      </top>
      <bottom style="medium">
        <color indexed="64"/>
      </bottom>
      <diagonal/>
    </border>
    <border>
      <left/>
      <right/>
      <top style="medium">
        <color rgb="FFC00000"/>
      </top>
      <bottom style="medium">
        <color indexed="64"/>
      </bottom>
      <diagonal/>
    </border>
    <border>
      <left/>
      <right style="medium">
        <color rgb="FFC00000"/>
      </right>
      <top style="medium">
        <color rgb="FFC00000"/>
      </top>
      <bottom style="medium">
        <color indexed="64"/>
      </bottom>
      <diagonal/>
    </border>
    <border>
      <left style="medium">
        <color rgb="FFC00000"/>
      </left>
      <right style="thin">
        <color indexed="64"/>
      </right>
      <top style="medium">
        <color indexed="64"/>
      </top>
      <bottom style="medium">
        <color indexed="64"/>
      </bottom>
      <diagonal/>
    </border>
    <border>
      <left style="medium">
        <color rgb="FFC00000"/>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s>
  <cellStyleXfs count="3">
    <xf numFmtId="0" fontId="0" fillId="0" borderId="0"/>
    <xf numFmtId="43" fontId="11" fillId="0" borderId="0" applyFont="0" applyFill="0" applyBorder="0" applyAlignment="0" applyProtection="0"/>
    <xf numFmtId="0" fontId="33" fillId="0" borderId="0"/>
  </cellStyleXfs>
  <cellXfs count="294">
    <xf numFmtId="0" fontId="0" fillId="0" borderId="0" xfId="0"/>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1" fillId="0" borderId="2" xfId="0" applyFont="1" applyBorder="1" applyAlignment="1">
      <alignment vertical="center"/>
    </xf>
    <xf numFmtId="0" fontId="1" fillId="0" borderId="3" xfId="0" applyFont="1" applyBorder="1" applyAlignment="1">
      <alignment vertical="center"/>
    </xf>
    <xf numFmtId="0" fontId="3" fillId="0" borderId="0" xfId="0" applyFont="1"/>
    <xf numFmtId="0" fontId="4" fillId="0" borderId="0" xfId="0" applyFont="1"/>
    <xf numFmtId="0" fontId="5" fillId="0" borderId="0" xfId="0" applyFont="1"/>
    <xf numFmtId="0" fontId="7" fillId="0" borderId="7" xfId="0" applyFont="1" applyBorder="1" applyAlignment="1">
      <alignment horizontal="left" vertical="center"/>
    </xf>
    <xf numFmtId="0" fontId="0" fillId="0" borderId="0" xfId="0" applyFont="1" applyAlignment="1">
      <alignment vertical="center"/>
    </xf>
    <xf numFmtId="0" fontId="0" fillId="0" borderId="0" xfId="0" applyFont="1"/>
    <xf numFmtId="0" fontId="0" fillId="2" borderId="7" xfId="0" applyFont="1" applyFill="1" applyBorder="1"/>
    <xf numFmtId="0" fontId="0" fillId="2" borderId="3" xfId="0" applyFont="1" applyFill="1" applyBorder="1"/>
    <xf numFmtId="0" fontId="7" fillId="0" borderId="1" xfId="0" applyFont="1" applyBorder="1" applyAlignment="1">
      <alignment horizontal="center" vertical="center" wrapText="1"/>
    </xf>
    <xf numFmtId="0" fontId="7" fillId="0" borderId="1" xfId="0" applyFont="1" applyBorder="1" applyAlignment="1">
      <alignment horizontal="center" vertical="center"/>
    </xf>
    <xf numFmtId="0" fontId="0" fillId="2" borderId="1" xfId="0" applyFont="1" applyFill="1" applyBorder="1" applyAlignment="1">
      <alignment vertical="center"/>
    </xf>
    <xf numFmtId="0" fontId="9" fillId="0" borderId="0" xfId="0" applyFont="1" applyAlignment="1">
      <alignment horizontal="right"/>
    </xf>
    <xf numFmtId="0" fontId="1" fillId="0" borderId="3" xfId="0" applyFont="1" applyBorder="1"/>
    <xf numFmtId="0" fontId="1" fillId="0" borderId="2" xfId="0" applyFont="1" applyBorder="1"/>
    <xf numFmtId="2" fontId="1" fillId="0" borderId="2" xfId="0" applyNumberFormat="1" applyFont="1" applyBorder="1"/>
    <xf numFmtId="0" fontId="5" fillId="0" borderId="0" xfId="0" applyFont="1" applyAlignment="1">
      <alignment horizontal="center" vertical="center"/>
    </xf>
    <xf numFmtId="0" fontId="12" fillId="0" borderId="0" xfId="0" applyFont="1"/>
    <xf numFmtId="0" fontId="13" fillId="0" borderId="0" xfId="0" applyFont="1" applyAlignment="1">
      <alignment horizontal="center" vertical="center"/>
    </xf>
    <xf numFmtId="0" fontId="15" fillId="0" borderId="0" xfId="0" applyFont="1" applyAlignment="1">
      <alignment horizontal="center" vertical="center"/>
    </xf>
    <xf numFmtId="43" fontId="0" fillId="5" borderId="9" xfId="1" applyFont="1" applyFill="1" applyBorder="1" applyAlignment="1">
      <alignment horizontal="right" vertical="center"/>
    </xf>
    <xf numFmtId="0" fontId="6" fillId="4" borderId="2" xfId="0" applyFont="1" applyFill="1" applyBorder="1" applyAlignment="1">
      <alignment horizontal="center" vertical="center"/>
    </xf>
    <xf numFmtId="0" fontId="6" fillId="4" borderId="10" xfId="0" applyFont="1" applyFill="1" applyBorder="1" applyAlignment="1">
      <alignment horizontal="center" vertical="center"/>
    </xf>
    <xf numFmtId="0" fontId="10" fillId="3" borderId="10" xfId="0" applyFont="1" applyFill="1" applyBorder="1" applyAlignment="1">
      <alignment horizontal="center" vertical="center" wrapText="1"/>
    </xf>
    <xf numFmtId="0" fontId="6" fillId="4" borderId="10" xfId="0" applyFont="1" applyFill="1" applyBorder="1" applyAlignment="1">
      <alignment horizontal="center" vertical="center" wrapText="1"/>
    </xf>
    <xf numFmtId="0" fontId="6" fillId="4" borderId="11" xfId="0" applyFont="1" applyFill="1" applyBorder="1" applyAlignment="1">
      <alignment horizontal="center" vertical="center"/>
    </xf>
    <xf numFmtId="0" fontId="10" fillId="0" borderId="2" xfId="0" applyFont="1" applyBorder="1" applyAlignment="1">
      <alignment horizontal="center" vertical="center" wrapText="1"/>
    </xf>
    <xf numFmtId="0" fontId="10" fillId="3" borderId="12"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5" borderId="12" xfId="0" applyFont="1" applyFill="1" applyBorder="1" applyAlignment="1">
      <alignment horizontal="center" vertical="center" wrapText="1"/>
    </xf>
    <xf numFmtId="0" fontId="6" fillId="5" borderId="10" xfId="0" applyFont="1" applyFill="1" applyBorder="1" applyAlignment="1">
      <alignment horizontal="center" vertical="center" wrapText="1"/>
    </xf>
    <xf numFmtId="0" fontId="6" fillId="5" borderId="11" xfId="0" applyFont="1" applyFill="1" applyBorder="1" applyAlignment="1">
      <alignment horizontal="center" vertical="center" wrapText="1"/>
    </xf>
    <xf numFmtId="0" fontId="6" fillId="4" borderId="11" xfId="0" applyFont="1" applyFill="1" applyBorder="1" applyAlignment="1">
      <alignment horizontal="center" vertical="center" wrapText="1"/>
    </xf>
    <xf numFmtId="0" fontId="13" fillId="0" borderId="0" xfId="0" applyFont="1"/>
    <xf numFmtId="0" fontId="0" fillId="0" borderId="8" xfId="0" applyFont="1" applyBorder="1" applyAlignment="1">
      <alignment vertical="center"/>
    </xf>
    <xf numFmtId="0" fontId="0" fillId="6" borderId="8" xfId="0" applyFill="1" applyBorder="1"/>
    <xf numFmtId="0" fontId="0" fillId="5" borderId="8" xfId="0" applyFill="1" applyBorder="1"/>
    <xf numFmtId="14" fontId="0" fillId="5" borderId="8" xfId="0" applyNumberFormat="1" applyFill="1" applyBorder="1"/>
    <xf numFmtId="1" fontId="1" fillId="5" borderId="15" xfId="1" applyNumberFormat="1" applyFont="1" applyFill="1" applyBorder="1" applyAlignment="1">
      <alignment horizontal="right" vertical="center"/>
    </xf>
    <xf numFmtId="43" fontId="0" fillId="5" borderId="16" xfId="1" applyFont="1" applyFill="1" applyBorder="1" applyAlignment="1">
      <alignment horizontal="right" vertical="center"/>
    </xf>
    <xf numFmtId="43" fontId="0" fillId="5" borderId="17" xfId="1" applyFont="1" applyFill="1" applyBorder="1" applyAlignment="1">
      <alignment horizontal="right" vertical="center"/>
    </xf>
    <xf numFmtId="1" fontId="1" fillId="5" borderId="18" xfId="1" applyNumberFormat="1" applyFont="1" applyFill="1" applyBorder="1" applyAlignment="1">
      <alignment horizontal="right" vertical="center"/>
    </xf>
    <xf numFmtId="43" fontId="0" fillId="5" borderId="19" xfId="1" applyFont="1" applyFill="1" applyBorder="1" applyAlignment="1">
      <alignment horizontal="right" vertical="center"/>
    </xf>
    <xf numFmtId="43" fontId="0" fillId="5" borderId="18" xfId="1" applyFont="1" applyFill="1" applyBorder="1" applyAlignment="1">
      <alignment horizontal="right" vertical="center"/>
    </xf>
    <xf numFmtId="14" fontId="10" fillId="0" borderId="21" xfId="0" applyNumberFormat="1" applyFont="1" applyBorder="1" applyAlignment="1" applyProtection="1">
      <alignment vertical="center"/>
      <protection locked="0"/>
    </xf>
    <xf numFmtId="14" fontId="0" fillId="0" borderId="0" xfId="0" applyNumberFormat="1"/>
    <xf numFmtId="0" fontId="6" fillId="7" borderId="12" xfId="0" applyFont="1" applyFill="1" applyBorder="1" applyAlignment="1">
      <alignment horizontal="center" vertical="center" wrapText="1"/>
    </xf>
    <xf numFmtId="0" fontId="6" fillId="7" borderId="7" xfId="0" applyFont="1" applyFill="1" applyBorder="1" applyAlignment="1">
      <alignment horizontal="center" vertical="center" wrapText="1"/>
    </xf>
    <xf numFmtId="0" fontId="6" fillId="7" borderId="10" xfId="0" applyFont="1" applyFill="1" applyBorder="1" applyAlignment="1">
      <alignment horizontal="center" vertical="center" wrapText="1"/>
    </xf>
    <xf numFmtId="0" fontId="6" fillId="7" borderId="11" xfId="0" applyFont="1" applyFill="1" applyBorder="1" applyAlignment="1">
      <alignment horizontal="center" vertical="center" wrapText="1"/>
    </xf>
    <xf numFmtId="0" fontId="19" fillId="0" borderId="0" xfId="0" applyFont="1"/>
    <xf numFmtId="43" fontId="0" fillId="5" borderId="23" xfId="1" applyFont="1" applyFill="1" applyBorder="1" applyAlignment="1">
      <alignment horizontal="right" vertical="center"/>
    </xf>
    <xf numFmtId="43" fontId="0" fillId="5" borderId="8" xfId="1" applyFont="1" applyFill="1" applyBorder="1" applyAlignment="1">
      <alignment horizontal="right" vertical="center"/>
    </xf>
    <xf numFmtId="43" fontId="0" fillId="5" borderId="22" xfId="1" applyFont="1" applyFill="1" applyBorder="1" applyAlignment="1">
      <alignment horizontal="right" vertical="center"/>
    </xf>
    <xf numFmtId="0" fontId="6" fillId="7" borderId="13" xfId="0" applyFont="1" applyFill="1" applyBorder="1" applyAlignment="1">
      <alignment horizontal="center" vertical="center" wrapText="1"/>
    </xf>
    <xf numFmtId="2" fontId="17" fillId="0" borderId="20" xfId="1" applyNumberFormat="1" applyFont="1" applyBorder="1" applyAlignment="1" applyProtection="1">
      <alignment horizontal="center" vertical="center"/>
      <protection locked="0"/>
    </xf>
    <xf numFmtId="43" fontId="22" fillId="5" borderId="16" xfId="1" applyFont="1" applyFill="1" applyBorder="1" applyAlignment="1">
      <alignment horizontal="right" vertical="center"/>
    </xf>
    <xf numFmtId="43" fontId="22" fillId="5" borderId="9" xfId="1" applyFont="1" applyFill="1" applyBorder="1" applyAlignment="1">
      <alignment horizontal="right" vertical="center"/>
    </xf>
    <xf numFmtId="43" fontId="22" fillId="5" borderId="14" xfId="1" applyFont="1" applyFill="1" applyBorder="1" applyAlignment="1">
      <alignment horizontal="right" vertical="center"/>
    </xf>
    <xf numFmtId="43" fontId="21" fillId="5" borderId="19" xfId="1" applyFont="1" applyFill="1" applyBorder="1" applyAlignment="1">
      <alignment horizontal="right" vertical="center"/>
    </xf>
    <xf numFmtId="43" fontId="20" fillId="5" borderId="14" xfId="1" applyFont="1" applyFill="1" applyBorder="1" applyAlignment="1">
      <alignment horizontal="right" vertical="center"/>
    </xf>
    <xf numFmtId="43" fontId="11" fillId="5" borderId="9" xfId="1" applyFont="1" applyFill="1" applyBorder="1" applyAlignment="1">
      <alignment horizontal="right" vertical="center"/>
    </xf>
    <xf numFmtId="43" fontId="0" fillId="5" borderId="24" xfId="1" applyFont="1" applyFill="1" applyBorder="1" applyAlignment="1">
      <alignment horizontal="right" vertical="center"/>
    </xf>
    <xf numFmtId="2" fontId="1" fillId="5" borderId="20" xfId="1" applyNumberFormat="1" applyFont="1" applyFill="1" applyBorder="1" applyAlignment="1">
      <alignment horizontal="center" vertical="center"/>
    </xf>
    <xf numFmtId="0" fontId="0" fillId="0" borderId="0" xfId="0" applyAlignment="1">
      <alignment wrapText="1"/>
    </xf>
    <xf numFmtId="0" fontId="16" fillId="0" borderId="0" xfId="0" applyFont="1"/>
    <xf numFmtId="43" fontId="1" fillId="5" borderId="11" xfId="1" applyFont="1" applyFill="1" applyBorder="1" applyAlignment="1">
      <alignment horizontal="right" vertical="center"/>
    </xf>
    <xf numFmtId="164" fontId="11" fillId="5" borderId="22" xfId="1" applyNumberFormat="1" applyFont="1" applyFill="1" applyBorder="1" applyAlignment="1">
      <alignment horizontal="right" vertical="center"/>
    </xf>
    <xf numFmtId="0" fontId="6" fillId="3" borderId="12" xfId="0" applyFont="1" applyFill="1" applyBorder="1" applyAlignment="1">
      <alignment horizontal="center" vertical="center" wrapText="1"/>
    </xf>
    <xf numFmtId="164" fontId="0" fillId="5" borderId="8" xfId="1" applyNumberFormat="1" applyFont="1" applyFill="1" applyBorder="1" applyAlignment="1">
      <alignment horizontal="right" vertical="center"/>
    </xf>
    <xf numFmtId="0" fontId="17" fillId="0" borderId="9" xfId="0" applyFont="1" applyFill="1" applyBorder="1" applyAlignment="1" applyProtection="1">
      <alignment vertical="center"/>
      <protection locked="0"/>
    </xf>
    <xf numFmtId="0" fontId="0" fillId="0" borderId="8" xfId="0" applyFont="1" applyFill="1" applyBorder="1" applyAlignment="1">
      <alignment vertical="center"/>
    </xf>
    <xf numFmtId="14" fontId="10" fillId="0" borderId="21" xfId="0" applyNumberFormat="1" applyFont="1" applyFill="1" applyBorder="1" applyAlignment="1" applyProtection="1">
      <alignment vertical="center"/>
      <protection locked="0"/>
    </xf>
    <xf numFmtId="0" fontId="0" fillId="0" borderId="0" xfId="0" applyFill="1"/>
    <xf numFmtId="0" fontId="1" fillId="0" borderId="0" xfId="0" applyFont="1"/>
    <xf numFmtId="0" fontId="25" fillId="0" borderId="0" xfId="0" applyFont="1"/>
    <xf numFmtId="0" fontId="17" fillId="0" borderId="0" xfId="0" applyFont="1"/>
    <xf numFmtId="0" fontId="26" fillId="0" borderId="0" xfId="0" applyFont="1" applyAlignment="1">
      <alignment vertical="top"/>
    </xf>
    <xf numFmtId="0" fontId="1" fillId="0" borderId="4" xfId="0" applyFont="1" applyBorder="1"/>
    <xf numFmtId="0" fontId="13" fillId="0" borderId="5" xfId="0" applyFont="1" applyBorder="1"/>
    <xf numFmtId="0" fontId="26" fillId="0" borderId="6" xfId="0" applyFont="1" applyBorder="1"/>
    <xf numFmtId="0" fontId="1" fillId="0" borderId="25" xfId="0" applyFont="1" applyBorder="1"/>
    <xf numFmtId="0" fontId="1" fillId="0" borderId="0" xfId="0" applyFont="1" applyBorder="1"/>
    <xf numFmtId="0" fontId="18" fillId="0" borderId="26" xfId="0" applyFont="1" applyBorder="1"/>
    <xf numFmtId="0" fontId="12" fillId="0" borderId="26" xfId="0" applyFont="1" applyBorder="1"/>
    <xf numFmtId="0" fontId="1" fillId="0" borderId="27" xfId="0" applyFont="1" applyBorder="1"/>
    <xf numFmtId="0" fontId="1" fillId="0" borderId="28" xfId="0" applyFont="1" applyBorder="1"/>
    <xf numFmtId="0" fontId="12" fillId="0" borderId="29" xfId="0" applyFont="1" applyBorder="1"/>
    <xf numFmtId="0" fontId="26" fillId="0" borderId="6" xfId="0" applyFont="1" applyBorder="1" applyAlignment="1">
      <alignment vertical="top"/>
    </xf>
    <xf numFmtId="0" fontId="13" fillId="0" borderId="27" xfId="0" applyFont="1" applyBorder="1" applyAlignment="1">
      <alignment vertical="top" wrapText="1"/>
    </xf>
    <xf numFmtId="0" fontId="12" fillId="0" borderId="28" xfId="0" applyFont="1" applyBorder="1" applyAlignment="1">
      <alignment vertical="top" wrapText="1"/>
    </xf>
    <xf numFmtId="0" fontId="12" fillId="0" borderId="7" xfId="0" applyFont="1" applyBorder="1" applyAlignment="1">
      <alignment vertical="center" wrapText="1"/>
    </xf>
    <xf numFmtId="0" fontId="26" fillId="0" borderId="3" xfId="0" applyFont="1" applyBorder="1" applyAlignment="1">
      <alignment vertical="top"/>
    </xf>
    <xf numFmtId="0" fontId="12" fillId="0" borderId="5" xfId="0" applyFont="1" applyBorder="1" applyAlignment="1">
      <alignment wrapText="1"/>
    </xf>
    <xf numFmtId="0" fontId="12" fillId="0" borderId="0" xfId="0" applyFont="1" applyBorder="1"/>
    <xf numFmtId="0" fontId="12" fillId="0" borderId="0" xfId="0" applyFont="1" applyBorder="1" applyAlignment="1">
      <alignment wrapText="1"/>
    </xf>
    <xf numFmtId="0" fontId="12" fillId="0" borderId="28" xfId="0" applyFont="1" applyBorder="1" applyAlignment="1">
      <alignment wrapText="1"/>
    </xf>
    <xf numFmtId="0" fontId="12" fillId="0" borderId="7" xfId="0" applyFont="1" applyBorder="1" applyAlignment="1">
      <alignment horizontal="justify" vertical="center"/>
    </xf>
    <xf numFmtId="0" fontId="1" fillId="0" borderId="4" xfId="0" applyFont="1" applyBorder="1" applyAlignment="1">
      <alignment vertical="top"/>
    </xf>
    <xf numFmtId="0" fontId="17" fillId="0" borderId="6" xfId="0" applyFont="1" applyBorder="1" applyAlignment="1">
      <alignment vertical="top"/>
    </xf>
    <xf numFmtId="0" fontId="1" fillId="0" borderId="25" xfId="0" applyFont="1" applyBorder="1" applyAlignment="1">
      <alignment vertical="top"/>
    </xf>
    <xf numFmtId="0" fontId="23" fillId="0" borderId="0" xfId="0" applyFont="1" applyBorder="1" applyAlignment="1">
      <alignment wrapText="1"/>
    </xf>
    <xf numFmtId="0" fontId="0" fillId="0" borderId="26" xfId="0" applyBorder="1"/>
    <xf numFmtId="0" fontId="2" fillId="0" borderId="26" xfId="0" applyFont="1" applyBorder="1"/>
    <xf numFmtId="0" fontId="0" fillId="0" borderId="29" xfId="0" applyBorder="1"/>
    <xf numFmtId="0" fontId="17" fillId="0" borderId="6" xfId="0" applyFont="1" applyBorder="1"/>
    <xf numFmtId="0" fontId="23" fillId="0" borderId="28" xfId="0" applyFont="1" applyBorder="1"/>
    <xf numFmtId="0" fontId="14" fillId="0" borderId="5" xfId="0" applyFont="1" applyBorder="1" applyAlignment="1">
      <alignment wrapText="1"/>
    </xf>
    <xf numFmtId="0" fontId="14" fillId="0" borderId="5" xfId="0" applyFont="1" applyBorder="1"/>
    <xf numFmtId="0" fontId="14" fillId="0" borderId="0" xfId="0" applyFont="1" applyBorder="1"/>
    <xf numFmtId="0" fontId="0" fillId="0" borderId="0" xfId="0" applyBorder="1"/>
    <xf numFmtId="0" fontId="26" fillId="0" borderId="29" xfId="0" applyFont="1" applyBorder="1" applyAlignment="1">
      <alignment vertical="top"/>
    </xf>
    <xf numFmtId="0" fontId="23" fillId="0" borderId="5" xfId="0" applyFont="1" applyBorder="1"/>
    <xf numFmtId="0" fontId="1" fillId="0" borderId="27" xfId="0" applyFont="1" applyFill="1" applyBorder="1"/>
    <xf numFmtId="0" fontId="0" fillId="0" borderId="8" xfId="0" applyBorder="1" applyAlignment="1" applyProtection="1">
      <alignment vertical="center"/>
      <protection locked="0"/>
    </xf>
    <xf numFmtId="0" fontId="29" fillId="0" borderId="0" xfId="0" applyFont="1"/>
    <xf numFmtId="0" fontId="13" fillId="0" borderId="0" xfId="0" applyFont="1" applyBorder="1"/>
    <xf numFmtId="0" fontId="26" fillId="0" borderId="26" xfId="0" applyFont="1" applyBorder="1"/>
    <xf numFmtId="0" fontId="0" fillId="5" borderId="8" xfId="0" applyFill="1" applyBorder="1" applyProtection="1">
      <protection locked="0"/>
    </xf>
    <xf numFmtId="14" fontId="0" fillId="5" borderId="8" xfId="0" applyNumberFormat="1" applyFill="1" applyBorder="1" applyProtection="1">
      <protection locked="0"/>
    </xf>
    <xf numFmtId="0" fontId="0" fillId="6" borderId="8" xfId="0" applyFill="1" applyBorder="1" applyProtection="1">
      <protection locked="0"/>
    </xf>
    <xf numFmtId="43" fontId="1" fillId="5" borderId="11" xfId="1" applyFont="1" applyFill="1" applyBorder="1" applyAlignment="1" applyProtection="1">
      <alignment horizontal="right" vertical="center"/>
    </xf>
    <xf numFmtId="0" fontId="31" fillId="0" borderId="28" xfId="0" applyFont="1" applyBorder="1"/>
    <xf numFmtId="0" fontId="23" fillId="0" borderId="5" xfId="0" applyFont="1" applyFill="1" applyBorder="1" applyAlignment="1">
      <alignment vertical="top" wrapText="1"/>
    </xf>
    <xf numFmtId="0" fontId="23" fillId="0" borderId="0" xfId="0" applyFont="1" applyFill="1" applyBorder="1" applyAlignment="1">
      <alignment vertical="top" wrapText="1"/>
    </xf>
    <xf numFmtId="0" fontId="12" fillId="0" borderId="28" xfId="0" applyFont="1" applyFill="1" applyBorder="1" applyAlignment="1">
      <alignment wrapText="1"/>
    </xf>
    <xf numFmtId="0" fontId="12" fillId="0" borderId="7" xfId="0" applyFont="1" applyFill="1" applyBorder="1" applyAlignment="1">
      <alignment horizontal="justify" vertical="center"/>
    </xf>
    <xf numFmtId="0" fontId="12" fillId="0" borderId="7" xfId="0" applyFont="1" applyFill="1" applyBorder="1" applyAlignment="1">
      <alignment wrapText="1"/>
    </xf>
    <xf numFmtId="0" fontId="0" fillId="8" borderId="8" xfId="0" applyFill="1" applyBorder="1" applyAlignment="1">
      <alignment vertical="center"/>
    </xf>
    <xf numFmtId="0" fontId="32" fillId="9" borderId="30" xfId="0" applyFont="1" applyFill="1" applyBorder="1" applyAlignment="1">
      <alignment horizontal="center" vertical="center" wrapText="1"/>
    </xf>
    <xf numFmtId="0" fontId="32" fillId="9" borderId="31" xfId="0" applyFont="1" applyFill="1" applyBorder="1" applyAlignment="1">
      <alignment horizontal="center" vertical="center" wrapText="1"/>
    </xf>
    <xf numFmtId="0" fontId="32" fillId="9" borderId="23" xfId="0" applyFont="1" applyFill="1" applyBorder="1" applyAlignment="1">
      <alignment horizontal="center" vertical="center" wrapText="1"/>
    </xf>
    <xf numFmtId="0" fontId="0" fillId="8" borderId="8" xfId="0" applyFill="1" applyBorder="1" applyAlignment="1">
      <alignment vertical="center" wrapText="1"/>
    </xf>
    <xf numFmtId="2" fontId="34" fillId="0" borderId="1" xfId="2" applyNumberFormat="1" applyFont="1" applyBorder="1" applyAlignment="1">
      <alignment horizontal="right" vertical="center"/>
    </xf>
    <xf numFmtId="0" fontId="0" fillId="10" borderId="8" xfId="0" applyFill="1" applyBorder="1"/>
    <xf numFmtId="0" fontId="0" fillId="0" borderId="8" xfId="0" applyFill="1" applyBorder="1"/>
    <xf numFmtId="14" fontId="0" fillId="0" borderId="8" xfId="0" applyNumberFormat="1" applyFill="1" applyBorder="1"/>
    <xf numFmtId="2" fontId="17" fillId="0" borderId="20" xfId="1" applyNumberFormat="1" applyFont="1" applyFill="1" applyBorder="1" applyAlignment="1" applyProtection="1">
      <alignment horizontal="center" vertical="center"/>
      <protection locked="0"/>
    </xf>
    <xf numFmtId="43" fontId="0" fillId="0" borderId="9" xfId="1" applyFont="1" applyFill="1" applyBorder="1" applyAlignment="1">
      <alignment horizontal="right" vertical="center"/>
    </xf>
    <xf numFmtId="43" fontId="0" fillId="0" borderId="19" xfId="1" applyFont="1" applyFill="1" applyBorder="1" applyAlignment="1">
      <alignment horizontal="right" vertical="center"/>
    </xf>
    <xf numFmtId="1" fontId="1" fillId="0" borderId="18" xfId="1" applyNumberFormat="1" applyFont="1" applyFill="1" applyBorder="1" applyAlignment="1">
      <alignment horizontal="right" vertical="center"/>
    </xf>
    <xf numFmtId="43" fontId="22" fillId="0" borderId="9" xfId="1" applyFont="1" applyFill="1" applyBorder="1" applyAlignment="1">
      <alignment horizontal="right" vertical="center"/>
    </xf>
    <xf numFmtId="164" fontId="0" fillId="0" borderId="8" xfId="1" applyNumberFormat="1" applyFont="1" applyFill="1" applyBorder="1" applyAlignment="1">
      <alignment horizontal="right" vertical="center"/>
    </xf>
    <xf numFmtId="43" fontId="0" fillId="0" borderId="22" xfId="1" applyFont="1" applyFill="1" applyBorder="1" applyAlignment="1">
      <alignment horizontal="right" vertical="center"/>
    </xf>
    <xf numFmtId="2" fontId="1" fillId="0" borderId="20" xfId="1" applyNumberFormat="1" applyFont="1" applyFill="1" applyBorder="1" applyAlignment="1">
      <alignment horizontal="center" vertical="center"/>
    </xf>
    <xf numFmtId="164" fontId="11" fillId="0" borderId="22" xfId="1" applyNumberFormat="1" applyFont="1" applyFill="1" applyBorder="1" applyAlignment="1">
      <alignment horizontal="right" vertical="center"/>
    </xf>
    <xf numFmtId="43" fontId="0" fillId="0" borderId="24" xfId="1" applyFont="1" applyFill="1" applyBorder="1" applyAlignment="1">
      <alignment horizontal="right" vertical="center"/>
    </xf>
    <xf numFmtId="43" fontId="11" fillId="0" borderId="9" xfId="1" applyFont="1" applyFill="1" applyBorder="1" applyAlignment="1">
      <alignment horizontal="right" vertical="center"/>
    </xf>
    <xf numFmtId="43" fontId="22" fillId="0" borderId="14" xfId="1" applyFont="1" applyFill="1" applyBorder="1" applyAlignment="1">
      <alignment horizontal="right" vertical="center"/>
    </xf>
    <xf numFmtId="43" fontId="20" fillId="0" borderId="14" xfId="1" applyFont="1" applyFill="1" applyBorder="1" applyAlignment="1">
      <alignment horizontal="right" vertical="center"/>
    </xf>
    <xf numFmtId="43" fontId="21" fillId="0" borderId="19" xfId="1" applyFont="1" applyFill="1" applyBorder="1" applyAlignment="1">
      <alignment horizontal="right" vertical="center"/>
    </xf>
    <xf numFmtId="0" fontId="35" fillId="0" borderId="8" xfId="0" applyFont="1" applyFill="1" applyBorder="1"/>
    <xf numFmtId="0" fontId="2" fillId="0" borderId="8" xfId="0" applyFont="1" applyFill="1" applyBorder="1"/>
    <xf numFmtId="0" fontId="0" fillId="0" borderId="0" xfId="0" applyProtection="1">
      <protection locked="0"/>
    </xf>
    <xf numFmtId="0" fontId="0" fillId="5" borderId="8" xfId="0" applyFill="1" applyBorder="1" applyAlignment="1" applyProtection="1">
      <alignment wrapText="1"/>
      <protection locked="0"/>
    </xf>
    <xf numFmtId="0" fontId="0" fillId="5" borderId="8" xfId="0" applyFill="1" applyBorder="1" applyAlignment="1" applyProtection="1">
      <alignment vertical="center" wrapText="1"/>
      <protection locked="0"/>
    </xf>
    <xf numFmtId="0" fontId="0" fillId="0" borderId="8" xfId="0" applyFont="1" applyBorder="1" applyAlignment="1">
      <alignment vertical="center" wrapText="1"/>
    </xf>
    <xf numFmtId="0" fontId="1" fillId="0" borderId="0" xfId="0" applyNumberFormat="1" applyFont="1"/>
    <xf numFmtId="0" fontId="0" fillId="0" borderId="0" xfId="0" applyNumberFormat="1" applyFont="1"/>
    <xf numFmtId="14" fontId="0" fillId="0" borderId="0" xfId="0" applyNumberFormat="1" applyFont="1"/>
    <xf numFmtId="0" fontId="0" fillId="0" borderId="0" xfId="0" applyNumberFormat="1"/>
    <xf numFmtId="0" fontId="0" fillId="10" borderId="0" xfId="0" applyNumberFormat="1" applyFill="1"/>
    <xf numFmtId="14" fontId="0" fillId="10" borderId="0" xfId="0" applyNumberFormat="1" applyFill="1"/>
    <xf numFmtId="0" fontId="36" fillId="11" borderId="12" xfId="0" applyFont="1" applyFill="1" applyBorder="1" applyAlignment="1">
      <alignment horizontal="center" vertical="center" wrapText="1"/>
    </xf>
    <xf numFmtId="43" fontId="0" fillId="8" borderId="18" xfId="1" applyFont="1" applyFill="1" applyBorder="1" applyAlignment="1" applyProtection="1">
      <alignment horizontal="right" vertical="center"/>
      <protection locked="0"/>
    </xf>
    <xf numFmtId="0" fontId="6" fillId="0" borderId="0" xfId="0" applyFont="1"/>
    <xf numFmtId="43" fontId="1" fillId="8" borderId="18" xfId="1" applyFont="1" applyFill="1" applyBorder="1" applyAlignment="1" applyProtection="1">
      <alignment horizontal="right" vertical="center"/>
      <protection locked="0"/>
    </xf>
    <xf numFmtId="0" fontId="1" fillId="0" borderId="0" xfId="0" applyFont="1" applyAlignment="1"/>
    <xf numFmtId="0" fontId="1" fillId="0" borderId="0" xfId="0" applyFont="1" applyAlignment="1">
      <alignment horizontal="right"/>
    </xf>
    <xf numFmtId="0" fontId="1" fillId="0" borderId="0" xfId="0" applyFont="1" applyAlignment="1">
      <alignment horizontal="right" vertical="center"/>
    </xf>
    <xf numFmtId="0" fontId="2" fillId="0" borderId="0" xfId="0" applyFont="1" applyAlignment="1" applyProtection="1">
      <alignment horizontal="center"/>
      <protection locked="0"/>
    </xf>
    <xf numFmtId="2" fontId="2" fillId="0" borderId="0" xfId="0" applyNumberFormat="1" applyFont="1" applyAlignment="1" applyProtection="1">
      <alignment horizontal="center"/>
      <protection locked="0"/>
    </xf>
    <xf numFmtId="0" fontId="0" fillId="0" borderId="32" xfId="0" applyFont="1" applyBorder="1" applyAlignment="1">
      <alignment vertical="center"/>
    </xf>
    <xf numFmtId="0" fontId="0" fillId="5" borderId="18" xfId="0" applyFill="1" applyBorder="1"/>
    <xf numFmtId="0" fontId="0" fillId="5" borderId="9" xfId="0" applyFill="1" applyBorder="1"/>
    <xf numFmtId="0" fontId="0" fillId="5" borderId="14" xfId="0" applyFill="1" applyBorder="1"/>
    <xf numFmtId="0" fontId="6" fillId="4" borderId="12" xfId="0" applyFont="1" applyFill="1" applyBorder="1" applyAlignment="1">
      <alignment horizontal="center" vertical="center"/>
    </xf>
    <xf numFmtId="0" fontId="36" fillId="11" borderId="10" xfId="0" applyFont="1" applyFill="1" applyBorder="1" applyAlignment="1">
      <alignment horizontal="center" vertical="center" wrapText="1"/>
    </xf>
    <xf numFmtId="0" fontId="6" fillId="3" borderId="10" xfId="0" applyFont="1" applyFill="1" applyBorder="1" applyAlignment="1">
      <alignment horizontal="center" vertical="center" wrapText="1"/>
    </xf>
    <xf numFmtId="0" fontId="36" fillId="11" borderId="11" xfId="0" applyFont="1" applyFill="1" applyBorder="1" applyAlignment="1">
      <alignment horizontal="center" vertical="center" wrapText="1"/>
    </xf>
    <xf numFmtId="0" fontId="1" fillId="0" borderId="0" xfId="0" applyFont="1" applyBorder="1" applyAlignment="1">
      <alignment horizontal="center"/>
    </xf>
    <xf numFmtId="0" fontId="39" fillId="3" borderId="40" xfId="0" applyFont="1" applyFill="1" applyBorder="1" applyAlignment="1">
      <alignment horizontal="center" vertical="center" wrapText="1"/>
    </xf>
    <xf numFmtId="1" fontId="0" fillId="0" borderId="0" xfId="0" applyNumberFormat="1" applyAlignment="1">
      <alignment horizontal="left"/>
    </xf>
    <xf numFmtId="43" fontId="1" fillId="5" borderId="33" xfId="1" applyFont="1" applyFill="1" applyBorder="1" applyAlignment="1">
      <alignment horizontal="right" vertical="center"/>
    </xf>
    <xf numFmtId="43" fontId="35" fillId="5" borderId="41" xfId="1" applyFont="1" applyFill="1" applyBorder="1" applyAlignment="1" applyProtection="1">
      <alignment horizontal="center" vertical="center"/>
    </xf>
    <xf numFmtId="43" fontId="17" fillId="0" borderId="19" xfId="1" applyFont="1" applyBorder="1" applyAlignment="1" applyProtection="1">
      <alignment horizontal="center" vertical="center"/>
      <protection locked="0"/>
    </xf>
    <xf numFmtId="43" fontId="0" fillId="5" borderId="14" xfId="1" applyFont="1" applyFill="1" applyBorder="1"/>
    <xf numFmtId="43" fontId="1" fillId="5" borderId="33" xfId="1" applyFont="1" applyFill="1" applyBorder="1" applyAlignment="1">
      <alignment horizontal="center" vertical="center"/>
    </xf>
    <xf numFmtId="1" fontId="0" fillId="0" borderId="0" xfId="0" applyNumberFormat="1" applyFont="1" applyAlignment="1">
      <alignment horizontal="left"/>
    </xf>
    <xf numFmtId="0" fontId="6" fillId="3" borderId="13" xfId="0" applyFont="1" applyFill="1" applyBorder="1" applyAlignment="1">
      <alignment horizontal="center" vertical="center" wrapText="1"/>
    </xf>
    <xf numFmtId="43" fontId="0" fillId="5" borderId="14" xfId="1" applyFont="1" applyFill="1" applyBorder="1" applyAlignment="1">
      <alignment horizontal="right" vertical="center"/>
    </xf>
    <xf numFmtId="10" fontId="0" fillId="0" borderId="0" xfId="0" applyNumberFormat="1"/>
    <xf numFmtId="43" fontId="0" fillId="5" borderId="14" xfId="1" applyNumberFormat="1" applyFont="1" applyFill="1" applyBorder="1" applyAlignment="1">
      <alignment horizontal="right" vertical="center"/>
    </xf>
    <xf numFmtId="0" fontId="4" fillId="0" borderId="0" xfId="0" applyFont="1" applyAlignment="1">
      <alignment horizontal="center"/>
    </xf>
    <xf numFmtId="2" fontId="40" fillId="6" borderId="0" xfId="0" applyNumberFormat="1" applyFont="1" applyFill="1" applyAlignment="1">
      <alignment horizontal="center"/>
    </xf>
    <xf numFmtId="0" fontId="6" fillId="13" borderId="13" xfId="0" applyFont="1" applyFill="1" applyBorder="1" applyAlignment="1">
      <alignment horizontal="center" vertical="center" wrapText="1"/>
    </xf>
    <xf numFmtId="43" fontId="17" fillId="8" borderId="18" xfId="1" applyFont="1" applyFill="1" applyBorder="1" applyAlignment="1" applyProtection="1">
      <alignment horizontal="center" vertical="center"/>
      <protection locked="0"/>
    </xf>
    <xf numFmtId="165" fontId="17" fillId="8" borderId="19" xfId="1" applyNumberFormat="1" applyFont="1" applyFill="1" applyBorder="1" applyAlignment="1" applyProtection="1">
      <alignment horizontal="center" vertical="center"/>
      <protection locked="0"/>
    </xf>
    <xf numFmtId="43" fontId="1" fillId="5" borderId="19" xfId="1" applyFont="1" applyFill="1" applyBorder="1" applyAlignment="1" applyProtection="1">
      <alignment horizontal="right" vertical="center"/>
    </xf>
    <xf numFmtId="43" fontId="0" fillId="5" borderId="21" xfId="1" applyFont="1" applyFill="1" applyBorder="1" applyAlignment="1">
      <alignment horizontal="right" vertical="center"/>
    </xf>
    <xf numFmtId="0" fontId="6" fillId="5" borderId="13" xfId="0" applyFont="1" applyFill="1" applyBorder="1" applyAlignment="1">
      <alignment horizontal="center" vertical="center" wrapText="1"/>
    </xf>
    <xf numFmtId="0" fontId="39" fillId="3" borderId="11" xfId="0" applyFont="1" applyFill="1" applyBorder="1" applyAlignment="1">
      <alignment horizontal="center" vertical="center" wrapText="1"/>
    </xf>
    <xf numFmtId="14" fontId="0" fillId="5" borderId="14" xfId="0" applyNumberFormat="1" applyFill="1" applyBorder="1"/>
    <xf numFmtId="1" fontId="20" fillId="8" borderId="34" xfId="1" applyNumberFormat="1" applyFont="1" applyFill="1" applyBorder="1" applyAlignment="1" applyProtection="1">
      <alignment horizontal="center" vertical="center"/>
      <protection locked="0"/>
    </xf>
    <xf numFmtId="0" fontId="1" fillId="0" borderId="0" xfId="0" pivotButton="1" applyFont="1" applyBorder="1" applyAlignment="1">
      <alignment horizontal="center" vertical="center"/>
    </xf>
    <xf numFmtId="0" fontId="1" fillId="0" borderId="0" xfId="0" applyFont="1" applyBorder="1" applyAlignment="1">
      <alignment horizontal="center" vertical="center" wrapText="1"/>
    </xf>
    <xf numFmtId="0" fontId="1" fillId="0" borderId="0" xfId="0" applyFont="1" applyBorder="1" applyAlignment="1">
      <alignment horizontal="center" vertical="center"/>
    </xf>
    <xf numFmtId="0" fontId="0" fillId="0" borderId="0" xfId="0" pivotButton="1" applyBorder="1" applyAlignment="1">
      <alignment horizontal="center" vertical="center"/>
    </xf>
    <xf numFmtId="0" fontId="0" fillId="0" borderId="0" xfId="0" applyBorder="1" applyAlignment="1">
      <alignment horizontal="center" vertical="center" wrapText="1"/>
    </xf>
    <xf numFmtId="43" fontId="17" fillId="8" borderId="19" xfId="1" applyNumberFormat="1" applyFont="1" applyFill="1" applyBorder="1" applyAlignment="1" applyProtection="1">
      <alignment horizontal="center" vertical="center"/>
      <protection locked="0"/>
    </xf>
    <xf numFmtId="0" fontId="0" fillId="0" borderId="0" xfId="0" applyAlignment="1">
      <alignment horizontal="left" indent="1"/>
    </xf>
    <xf numFmtId="2" fontId="0" fillId="0" borderId="0" xfId="0" applyNumberFormat="1"/>
    <xf numFmtId="2" fontId="37" fillId="12" borderId="0" xfId="0" applyNumberFormat="1" applyFont="1" applyFill="1"/>
    <xf numFmtId="2" fontId="42" fillId="0" borderId="0" xfId="0" applyNumberFormat="1" applyFont="1" applyFill="1" applyBorder="1" applyAlignment="1" applyProtection="1"/>
    <xf numFmtId="2" fontId="0" fillId="0" borderId="0" xfId="0" applyNumberFormat="1" applyFont="1"/>
    <xf numFmtId="43" fontId="0" fillId="5" borderId="42" xfId="1" applyFont="1" applyFill="1" applyBorder="1" applyAlignment="1">
      <alignment horizontal="right" vertical="center"/>
    </xf>
    <xf numFmtId="43" fontId="0" fillId="5" borderId="43" xfId="1" applyNumberFormat="1" applyFont="1" applyFill="1" applyBorder="1" applyAlignment="1">
      <alignment horizontal="right" vertical="center"/>
    </xf>
    <xf numFmtId="0" fontId="0" fillId="0" borderId="32" xfId="0" applyFont="1" applyFill="1" applyBorder="1" applyAlignment="1">
      <alignment vertical="center"/>
    </xf>
    <xf numFmtId="0" fontId="0" fillId="0" borderId="18" xfId="0" applyFill="1" applyBorder="1"/>
    <xf numFmtId="0" fontId="0" fillId="0" borderId="9" xfId="0" applyFill="1" applyBorder="1"/>
    <xf numFmtId="0" fontId="0" fillId="0" borderId="14" xfId="0" applyFill="1" applyBorder="1"/>
    <xf numFmtId="14" fontId="0" fillId="0" borderId="14" xfId="0" applyNumberFormat="1" applyFill="1" applyBorder="1"/>
    <xf numFmtId="43" fontId="0" fillId="0" borderId="14" xfId="1" applyFont="1" applyFill="1" applyBorder="1"/>
    <xf numFmtId="43" fontId="1" fillId="0" borderId="19" xfId="1" applyFont="1" applyFill="1" applyBorder="1" applyAlignment="1" applyProtection="1">
      <alignment horizontal="right" vertical="center"/>
    </xf>
    <xf numFmtId="43" fontId="17" fillId="0" borderId="18" xfId="1" applyFont="1" applyFill="1" applyBorder="1" applyAlignment="1" applyProtection="1">
      <alignment horizontal="center" vertical="center"/>
      <protection locked="0"/>
    </xf>
    <xf numFmtId="43" fontId="0" fillId="0" borderId="14" xfId="1" applyNumberFormat="1" applyFont="1" applyFill="1" applyBorder="1" applyAlignment="1">
      <alignment horizontal="right" vertical="center"/>
    </xf>
    <xf numFmtId="43" fontId="0" fillId="0" borderId="14" xfId="1" applyFont="1" applyFill="1" applyBorder="1" applyAlignment="1">
      <alignment horizontal="right" vertical="center"/>
    </xf>
    <xf numFmtId="43" fontId="35" fillId="0" borderId="41" xfId="1" applyFont="1" applyFill="1" applyBorder="1" applyAlignment="1" applyProtection="1">
      <alignment horizontal="center" vertical="center"/>
    </xf>
    <xf numFmtId="43" fontId="17" fillId="0" borderId="19" xfId="1" applyNumberFormat="1" applyFont="1" applyFill="1" applyBorder="1" applyAlignment="1" applyProtection="1">
      <alignment horizontal="center" vertical="center"/>
      <protection locked="0"/>
    </xf>
    <xf numFmtId="43" fontId="1" fillId="0" borderId="33" xfId="1" applyFont="1" applyFill="1" applyBorder="1" applyAlignment="1">
      <alignment horizontal="center" vertical="center"/>
    </xf>
    <xf numFmtId="43" fontId="1" fillId="0" borderId="33" xfId="1" applyFont="1" applyFill="1" applyBorder="1" applyAlignment="1">
      <alignment horizontal="right" vertical="center"/>
    </xf>
    <xf numFmtId="43" fontId="0" fillId="0" borderId="21" xfId="1" applyFont="1" applyFill="1" applyBorder="1" applyAlignment="1">
      <alignment horizontal="right" vertical="center"/>
    </xf>
    <xf numFmtId="43" fontId="0" fillId="0" borderId="8" xfId="1" applyFont="1" applyFill="1" applyBorder="1" applyAlignment="1">
      <alignment horizontal="right" vertical="center"/>
    </xf>
    <xf numFmtId="1" fontId="20" fillId="0" borderId="34" xfId="1" applyNumberFormat="1" applyFont="1" applyFill="1" applyBorder="1" applyAlignment="1" applyProtection="1">
      <alignment horizontal="center" vertical="center"/>
      <protection locked="0"/>
    </xf>
    <xf numFmtId="43" fontId="17" fillId="0" borderId="19" xfId="1" applyFont="1" applyFill="1" applyBorder="1" applyAlignment="1" applyProtection="1">
      <alignment horizontal="center" vertical="center"/>
      <protection locked="0"/>
    </xf>
    <xf numFmtId="165" fontId="17" fillId="0" borderId="19" xfId="1" applyNumberFormat="1" applyFont="1" applyFill="1" applyBorder="1" applyAlignment="1" applyProtection="1">
      <alignment horizontal="center" vertical="center"/>
      <protection locked="0"/>
    </xf>
    <xf numFmtId="43" fontId="1" fillId="0" borderId="9" xfId="1" applyFont="1" applyFill="1" applyBorder="1" applyAlignment="1">
      <alignment horizontal="right" vertical="center"/>
    </xf>
    <xf numFmtId="43" fontId="1" fillId="0" borderId="14" xfId="1" applyNumberFormat="1" applyFont="1" applyFill="1" applyBorder="1" applyAlignment="1">
      <alignment horizontal="right" vertical="center"/>
    </xf>
    <xf numFmtId="43" fontId="1" fillId="0" borderId="14" xfId="1" applyFont="1" applyFill="1" applyBorder="1" applyAlignment="1">
      <alignment horizontal="right" vertical="center"/>
    </xf>
    <xf numFmtId="43" fontId="1" fillId="0" borderId="14" xfId="1" applyFont="1" applyFill="1" applyBorder="1"/>
    <xf numFmtId="14" fontId="0" fillId="5" borderId="14" xfId="1" applyNumberFormat="1" applyFont="1" applyFill="1" applyBorder="1"/>
    <xf numFmtId="0" fontId="1" fillId="0" borderId="2" xfId="0" applyFont="1" applyBorder="1" applyAlignment="1">
      <alignment horizontal="right" vertical="center"/>
    </xf>
    <xf numFmtId="0" fontId="1" fillId="0" borderId="7" xfId="0" applyFont="1" applyBorder="1" applyAlignment="1">
      <alignment horizontal="right" vertical="center"/>
    </xf>
    <xf numFmtId="0" fontId="6" fillId="7" borderId="2" xfId="0" applyFont="1" applyFill="1" applyBorder="1" applyAlignment="1">
      <alignment horizontal="center"/>
    </xf>
    <xf numFmtId="0" fontId="6" fillId="7" borderId="7" xfId="0" applyFont="1" applyFill="1" applyBorder="1" applyAlignment="1">
      <alignment horizontal="center"/>
    </xf>
    <xf numFmtId="0" fontId="6" fillId="7" borderId="3" xfId="0" applyFont="1" applyFill="1" applyBorder="1" applyAlignment="1">
      <alignment horizontal="center"/>
    </xf>
    <xf numFmtId="0" fontId="6" fillId="0" borderId="2" xfId="0" applyFont="1" applyBorder="1" applyAlignment="1">
      <alignment horizontal="center"/>
    </xf>
    <xf numFmtId="0" fontId="6" fillId="0" borderId="3" xfId="0" applyFont="1" applyBorder="1" applyAlignment="1">
      <alignment horizontal="center"/>
    </xf>
    <xf numFmtId="0" fontId="6" fillId="4" borderId="4" xfId="0" applyFont="1" applyFill="1" applyBorder="1" applyAlignment="1">
      <alignment horizontal="center"/>
    </xf>
    <xf numFmtId="0" fontId="6" fillId="4" borderId="5" xfId="0" applyFont="1" applyFill="1" applyBorder="1" applyAlignment="1">
      <alignment horizontal="center"/>
    </xf>
    <xf numFmtId="0" fontId="6" fillId="4" borderId="6" xfId="0" applyFont="1" applyFill="1" applyBorder="1" applyAlignment="1">
      <alignment horizontal="center"/>
    </xf>
    <xf numFmtId="0" fontId="6" fillId="5" borderId="4" xfId="0" applyFont="1" applyFill="1" applyBorder="1" applyAlignment="1">
      <alignment horizontal="center"/>
    </xf>
    <xf numFmtId="0" fontId="6" fillId="5" borderId="5" xfId="0" applyFont="1" applyFill="1" applyBorder="1" applyAlignment="1">
      <alignment horizontal="center"/>
    </xf>
    <xf numFmtId="0" fontId="6" fillId="5" borderId="6" xfId="0" applyFont="1" applyFill="1" applyBorder="1" applyAlignment="1">
      <alignment horizontal="center"/>
    </xf>
    <xf numFmtId="0" fontId="1" fillId="0" borderId="35" xfId="0" applyFont="1" applyBorder="1" applyAlignment="1">
      <alignment horizontal="center"/>
    </xf>
    <xf numFmtId="0" fontId="1" fillId="0" borderId="36" xfId="0" applyFont="1" applyBorder="1" applyAlignment="1">
      <alignment horizontal="center"/>
    </xf>
    <xf numFmtId="0" fontId="1" fillId="0" borderId="37" xfId="0" applyFont="1" applyBorder="1" applyAlignment="1">
      <alignment horizontal="center"/>
    </xf>
    <xf numFmtId="0" fontId="1" fillId="0" borderId="38" xfId="0" applyFont="1" applyBorder="1" applyAlignment="1">
      <alignment horizontal="center"/>
    </xf>
    <xf numFmtId="0" fontId="1" fillId="0" borderId="39" xfId="0" applyFont="1" applyBorder="1" applyAlignment="1">
      <alignment horizontal="center"/>
    </xf>
    <xf numFmtId="0" fontId="28" fillId="0" borderId="0" xfId="0" applyFont="1" applyAlignment="1">
      <alignment horizontal="justify" vertical="top" wrapText="1"/>
    </xf>
    <xf numFmtId="0" fontId="27" fillId="0" borderId="0" xfId="0" applyFont="1" applyAlignment="1">
      <alignment horizontal="justify" vertical="top"/>
    </xf>
    <xf numFmtId="0" fontId="8" fillId="2" borderId="2" xfId="0" applyFont="1" applyFill="1" applyBorder="1" applyAlignment="1">
      <alignment horizontal="center" vertical="top"/>
    </xf>
    <xf numFmtId="0" fontId="8" fillId="2" borderId="7" xfId="0" applyFont="1" applyFill="1" applyBorder="1" applyAlignment="1">
      <alignment horizontal="center" vertical="top"/>
    </xf>
    <xf numFmtId="0" fontId="0" fillId="3" borderId="32" xfId="0" applyFont="1" applyFill="1" applyBorder="1" applyAlignment="1">
      <alignment vertical="center"/>
    </xf>
    <xf numFmtId="0" fontId="0" fillId="3" borderId="18" xfId="0" applyFill="1" applyBorder="1"/>
    <xf numFmtId="0" fontId="0" fillId="3" borderId="9" xfId="0" applyFill="1" applyBorder="1"/>
    <xf numFmtId="0" fontId="0" fillId="3" borderId="14" xfId="0" applyFill="1" applyBorder="1"/>
    <xf numFmtId="14" fontId="0" fillId="3" borderId="14" xfId="0" applyNumberFormat="1" applyFill="1" applyBorder="1"/>
    <xf numFmtId="43" fontId="0" fillId="3" borderId="14" xfId="1" applyFont="1" applyFill="1" applyBorder="1"/>
    <xf numFmtId="14" fontId="0" fillId="3" borderId="14" xfId="1" applyNumberFormat="1" applyFont="1" applyFill="1" applyBorder="1"/>
    <xf numFmtId="43" fontId="1" fillId="3" borderId="19" xfId="1" applyFont="1" applyFill="1" applyBorder="1" applyAlignment="1" applyProtection="1">
      <alignment horizontal="right" vertical="center"/>
    </xf>
    <xf numFmtId="43" fontId="17" fillId="3" borderId="18" xfId="1" applyFont="1" applyFill="1" applyBorder="1" applyAlignment="1" applyProtection="1">
      <alignment horizontal="center" vertical="center"/>
      <protection locked="0"/>
    </xf>
    <xf numFmtId="43" fontId="0" fillId="3" borderId="9" xfId="1" applyFont="1" applyFill="1" applyBorder="1" applyAlignment="1">
      <alignment horizontal="right" vertical="center"/>
    </xf>
    <xf numFmtId="43" fontId="0" fillId="3" borderId="14" xfId="1" applyNumberFormat="1" applyFont="1" applyFill="1" applyBorder="1" applyAlignment="1">
      <alignment horizontal="right" vertical="center"/>
    </xf>
    <xf numFmtId="43" fontId="0" fillId="3" borderId="14" xfId="1" applyFont="1" applyFill="1" applyBorder="1" applyAlignment="1">
      <alignment horizontal="right" vertical="center"/>
    </xf>
    <xf numFmtId="43" fontId="35" fillId="3" borderId="41" xfId="1" applyFont="1" applyFill="1" applyBorder="1" applyAlignment="1" applyProtection="1">
      <alignment horizontal="center" vertical="center"/>
    </xf>
    <xf numFmtId="43" fontId="17" fillId="3" borderId="19" xfId="1" applyNumberFormat="1" applyFont="1" applyFill="1" applyBorder="1" applyAlignment="1" applyProtection="1">
      <alignment horizontal="center" vertical="center"/>
      <protection locked="0"/>
    </xf>
    <xf numFmtId="43" fontId="1" fillId="3" borderId="33" xfId="1" applyFont="1" applyFill="1" applyBorder="1" applyAlignment="1">
      <alignment horizontal="center" vertical="center"/>
    </xf>
    <xf numFmtId="43" fontId="1" fillId="3" borderId="33" xfId="1" applyFont="1" applyFill="1" applyBorder="1" applyAlignment="1">
      <alignment horizontal="right" vertical="center"/>
    </xf>
    <xf numFmtId="43" fontId="0" fillId="3" borderId="21" xfId="1" applyFont="1" applyFill="1" applyBorder="1" applyAlignment="1">
      <alignment horizontal="right" vertical="center"/>
    </xf>
    <xf numFmtId="43" fontId="0" fillId="3" borderId="8" xfId="1" applyFont="1" applyFill="1" applyBorder="1" applyAlignment="1">
      <alignment horizontal="right" vertical="center"/>
    </xf>
    <xf numFmtId="1" fontId="20" fillId="3" borderId="34" xfId="1" applyNumberFormat="1" applyFont="1" applyFill="1" applyBorder="1" applyAlignment="1" applyProtection="1">
      <alignment horizontal="center" vertical="center"/>
      <protection locked="0"/>
    </xf>
    <xf numFmtId="43" fontId="17" fillId="3" borderId="19" xfId="1" applyFont="1" applyFill="1" applyBorder="1" applyAlignment="1" applyProtection="1">
      <alignment horizontal="center" vertical="center"/>
      <protection locked="0"/>
    </xf>
    <xf numFmtId="0" fontId="0" fillId="3" borderId="0" xfId="0" applyFill="1"/>
    <xf numFmtId="0" fontId="25" fillId="8" borderId="8" xfId="0" applyFont="1" applyFill="1" applyBorder="1" applyAlignment="1">
      <alignment vertical="center"/>
    </xf>
    <xf numFmtId="0" fontId="17" fillId="8" borderId="8" xfId="0" applyFont="1" applyFill="1" applyBorder="1" applyAlignment="1">
      <alignment vertical="center"/>
    </xf>
    <xf numFmtId="0" fontId="17" fillId="8" borderId="8" xfId="0" applyFont="1" applyFill="1" applyBorder="1" applyAlignment="1">
      <alignment vertical="center" wrapText="1"/>
    </xf>
    <xf numFmtId="0" fontId="17" fillId="0" borderId="8" xfId="0" applyFont="1" applyBorder="1" applyAlignment="1" applyProtection="1">
      <alignment vertical="center"/>
      <protection locked="0"/>
    </xf>
    <xf numFmtId="0" fontId="17" fillId="0" borderId="8" xfId="0" applyFont="1" applyBorder="1" applyAlignment="1" applyProtection="1">
      <alignment vertical="center"/>
    </xf>
    <xf numFmtId="0" fontId="17" fillId="8" borderId="8" xfId="0" applyFont="1" applyFill="1" applyBorder="1" applyAlignment="1" applyProtection="1">
      <alignment vertical="center"/>
    </xf>
  </cellXfs>
  <cellStyles count="3">
    <cellStyle name="Millares" xfId="1" builtinId="3"/>
    <cellStyle name="Normal" xfId="0" builtinId="0"/>
    <cellStyle name="Normal 2" xfId="2" xr:uid="{00000000-0005-0000-0000-000002000000}"/>
  </cellStyles>
  <dxfs count="37">
    <dxf>
      <font>
        <b/>
        <i val="0"/>
        <color theme="9" tint="-0.499984740745262"/>
      </font>
      <fill>
        <patternFill>
          <bgColor theme="9" tint="0.59996337778862885"/>
        </patternFill>
      </fill>
    </dxf>
    <dxf>
      <font>
        <b/>
        <i val="0"/>
        <color theme="7" tint="-0.499984740745262"/>
      </font>
      <fill>
        <patternFill>
          <bgColor theme="7" tint="0.59996337778862885"/>
        </patternFill>
      </fill>
    </dxf>
    <dxf>
      <font>
        <b/>
        <i val="0"/>
        <color rgb="FF9C0006"/>
      </font>
      <fill>
        <patternFill>
          <bgColor rgb="FFFFC7CE"/>
        </patternFill>
      </fill>
    </dxf>
    <dxf>
      <font>
        <color rgb="FF9C6500"/>
      </font>
      <fill>
        <patternFill>
          <bgColor rgb="FFFFEB9C"/>
        </patternFill>
      </fill>
    </dxf>
    <dxf>
      <numFmt numFmtId="2" formatCode="0.00"/>
    </dxf>
    <dxf>
      <numFmt numFmtId="2" formatCode="0.00"/>
    </dxf>
    <dxf>
      <numFmt numFmtId="2" formatCode="0.00"/>
    </dxf>
    <dxf>
      <border>
        <left/>
        <right/>
        <top/>
        <bottom/>
        <vertical/>
      </border>
    </dxf>
    <dxf>
      <border>
        <left/>
        <right/>
        <top/>
        <bottom/>
        <vertical/>
      </border>
    </dxf>
    <dxf>
      <alignment vertical="center" readingOrder="0"/>
    </dxf>
    <dxf>
      <alignment vertical="center" readingOrder="0"/>
    </dxf>
    <dxf>
      <alignment horizontal="center" readingOrder="0"/>
    </dxf>
    <dxf>
      <alignment horizontal="center" readingOrder="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wrapText="1" readingOrder="0"/>
    </dxf>
    <dxf>
      <alignment horizontal="center" readingOrder="0"/>
    </dxf>
    <dxf>
      <alignment wrapText="1" readingOrder="0"/>
    </dxf>
    <dxf>
      <numFmt numFmtId="14" formatCode="0.00%"/>
    </dxf>
    <dxf>
      <numFmt numFmtId="2" formatCode="0.00"/>
    </dxf>
    <dxf>
      <numFmt numFmtId="2" formatCode="0.00"/>
    </dxf>
    <dxf>
      <border>
        <left/>
        <right/>
        <top/>
        <bottom/>
        <vertical/>
      </border>
    </dxf>
    <dxf>
      <border>
        <left/>
        <right/>
        <top/>
        <bottom/>
        <vertical/>
      </border>
    </dxf>
    <dxf>
      <alignment horizontal="center" readingOrder="0"/>
    </dxf>
    <dxf>
      <alignment horizontal="center" readingOrder="0"/>
    </dxf>
    <dxf>
      <alignment vertical="center" readingOrder="0"/>
    </dxf>
    <dxf>
      <alignment vertical="center" readingOrder="0"/>
    </dxf>
    <dxf>
      <font>
        <b/>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wrapText="1" readingOrder="0"/>
    </dxf>
    <dxf>
      <font>
        <b/>
      </font>
    </dxf>
    <dxf>
      <font>
        <b/>
      </font>
    </dxf>
    <dxf>
      <font>
        <sz val="11"/>
      </font>
    </dxf>
    <dxf>
      <font>
        <name val="Calibri"/>
        <scheme val="minor"/>
      </font>
    </dxf>
    <dxf>
      <font>
        <b val="0"/>
        <i val="0"/>
        <strike val="0"/>
        <condense val="0"/>
        <extend val="0"/>
        <outline val="0"/>
        <shadow val="0"/>
        <u val="none"/>
        <vertAlign val="baseline"/>
        <sz val="10"/>
        <color indexed="8"/>
        <name val="MS Sans Serif"/>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s>
  <tableStyles count="0" defaultTableStyle="TableStyleMedium2" defaultPivotStyle="PivotStyleLight16"/>
  <colors>
    <mruColors>
      <color rgb="FFF9F9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19050</xdr:rowOff>
        </xdr:from>
        <xdr:to>
          <xdr:col>29</xdr:col>
          <xdr:colOff>12700</xdr:colOff>
          <xdr:row>2</xdr:row>
          <xdr:rowOff>12700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cs typeface="Calibri"/>
                </a:rPr>
                <a:t>IMPRIMIR CONTRATO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10</xdr:row>
          <xdr:rowOff>76200</xdr:rowOff>
        </xdr:from>
        <xdr:to>
          <xdr:col>24</xdr:col>
          <xdr:colOff>742950</xdr:colOff>
          <xdr:row>11</xdr:row>
          <xdr:rowOff>95250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cs typeface="Calibri"/>
                </a:rPr>
                <a:t>IMPRIMIR CONTRATO</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riadna" refreshedDate="44533.178414236114" createdVersion="5" refreshedVersion="7" minRefreshableVersion="3" recordCount="341" xr:uid="{00000000-000A-0000-FFFF-FFFF00000000}">
  <cacheSource type="worksheet">
    <worksheetSource ref="B14:Y355" sheet="REGISTRO_MAESTRO_m3"/>
  </cacheSource>
  <cacheFields count="24">
    <cacheField name="EXP." numFmtId="0">
      <sharedItems containsString="0" containsBlank="1" containsNumber="1" containsInteger="1" minValue="15727" maxValue="27051"/>
    </cacheField>
    <cacheField name="AGRUPACION" numFmtId="0">
      <sharedItems containsString="0" containsBlank="1" containsNumber="1" containsInteger="1" minValue="9301" maxValue="9421"/>
    </cacheField>
    <cacheField name="NOMBRE" numFmtId="0">
      <sharedItems containsBlank="1" count="92">
        <s v="Solicitante A"/>
        <s v="Solicitante B"/>
        <s v="Solicitante C"/>
        <s v="Solicitante D"/>
        <s v="Solicitante E"/>
        <s v="Solicitante F"/>
        <s v="Solicitante G"/>
        <s v="Solicitante H"/>
        <s v="Solicitante I"/>
        <s v="Solicitante J"/>
        <s v="Solicitante K"/>
        <s v="Solicitante L"/>
        <s v="Solicitante M"/>
        <s v="Solicitante N"/>
        <s v="Solicitante Ñ"/>
        <s v="Solicitante O"/>
        <s v="Solicitante Q"/>
        <s v="Solicitante R"/>
        <s v="Solicitante S"/>
        <s v="Solicitante T"/>
        <s v="Solicitante U"/>
        <s v="Solicitante V"/>
        <s v="Solicitante W"/>
        <m/>
        <s v="RODOLFO FRANCISCO ESPINOSA PACHECO" u="1"/>
        <s v="ALEXANDER GARCIA BUBAIRE" u="1"/>
        <s v="JESUS RAMON CHACON AVILA" u="1"/>
        <s v="LITZANIA OCHOA BARREDA" u="1"/>
        <s v="MARIA CARIDAD REINALDO RUIZ" u="1"/>
        <s v="JORGE LUIS COLOMBE COLOMBE" u="1"/>
        <s v="ESPERANZA BARBON SOLER" u="1"/>
        <s v="YUDELKYS GALAFET DIEGUEZ" u="1"/>
        <s v="YUNIOR RAFAEL DIEGUEZ BARRERA" u="1"/>
        <s v="REINALDO ENRIQUE BORROTO DUENAS" u="1"/>
        <s v="RUBEN GIRON DIAZ" u="1"/>
        <s v="TERESA JUSTA QUINTANA LLERENA" u="1"/>
        <s v="ELIAGNIS ADRICEL HECHAVARRIA MONTEJO" u="1"/>
        <s v="LIANEISY CLARO MOYA" u="1"/>
        <s v="MANUEL CABRERA MARIÑO" u="1"/>
        <s v="JUAN CARLOS DE ZAYAS GARCIA" u="1"/>
        <s v="ELIOVIS BULLAIN BENAVIDES" u="1"/>
        <s v="YANELYS SUAREZ VILTRES" u="1"/>
        <s v="IVAN MARTINELLA PORTUONDO" u="1"/>
        <s v="ILIANA OTERO RODRIGUEZ" u="1"/>
        <s v="CARMEN ESTHER REMON CHAVEZ" u="1"/>
        <s v="IVONNE MARTINEZ IGLESIAS" u="1"/>
        <s v="CARLOS ALBERTO LINARES MEDINA" u="1"/>
        <s v="ALINA REDONDO ALQUEZABAL" u="1"/>
        <s v="CARMEN VIDAL CASCANTE" u="1"/>
        <s v="NORMA GONZALEZ SOCORRO" u="1"/>
        <s v="DAIRYS PERNAS MIGUEL" u="1"/>
        <s v="ROMER TORRES GUZMAN" u="1"/>
        <s v="MARIBEL RODRIGUEZ MATOS" u="1"/>
        <s v="ISEL VERA DIAZ" u="1"/>
        <s v="JUAN RAMON CASTILLO BELEN" u="1"/>
        <s v="DIANA BARBARA REYES PEREZ" u="1"/>
        <s v="JOAN GARCIA REYES" u="1"/>
        <s v="MARISOL VELAZQUEZ MENENDEZ" u="1"/>
        <s v="ORLANDO TRUJILLO MUÑOZ" u="1"/>
        <s v="YAINAROLVIS YBAL AZAHARES" u="1"/>
        <s v="JUAN CARLOS AGUADO LORENZO" u="1"/>
        <s v="MARIBEL GIL RAMIREZ" u="1"/>
        <s v="LEONALDO EUGENIO SOTOLONGO QUINTANA" u="1"/>
        <s v="GEORGINA DE LA CARIDAD VAZQUEZ GONZALEZ" u="1"/>
        <s v="PEDRO YULIER VIEL SANCHEZ" u="1"/>
        <s v="MAIRELYS IBAÑEZ JIMENEZ" u="1"/>
        <s v="ROBERTO RIVERA GUERRA" u="1"/>
        <s v="PEDRO LUIS MORALES GOMEZ" u="1"/>
        <s v="NIVIO EDUARDO DIAZ DEL RISCO" u="1"/>
        <s v="DAYAMI OCHOA HERNANDEZ" u="1"/>
        <s v="ARMIN ALEXANDER GONZALEZ QUESADA" u="1"/>
        <s v="EULICES EVELIO MARIN GARCIAS" u="1"/>
        <s v="ALEJANDRO VIRELLES PACHECO" u="1"/>
        <s v="LEONARDO ALMAGUER GUERRERO" u="1"/>
        <s v="JULIO AGUILAR GUERRA" u="1"/>
        <s v="ISMAEL ENRIQUEZ RODRIGUEZ" u="1"/>
        <s v="MAYELIN GUTIERREZ ORTIVERO" u="1"/>
        <s v="VIVIANA MARIA CASTILLO CARRION" u="1"/>
        <s v="RICARDO LLERENA PATTERSON" u="1"/>
        <s v="JUNIOR VEGA JIMENEZ" u="1"/>
        <s v="JUAN CARLOS PULIDO ARMAS" u="1"/>
        <s v="LUIS ANDRES GUIBERT ADOLFO" u="1"/>
        <s v="JUAN MIGUEL BARRIOS" u="1"/>
        <s v="JESUS ESTEBAN LAO HECHAVARRIA" u="1"/>
        <s v="ILIA ACEVEDO MEDINA" u="1"/>
        <s v="AIDA GUDELIA BATISTA PROENZA" u="1"/>
        <s v="MARIA ANTONIA MARTIN IZQUIERDO" u="1"/>
        <s v="INES MARIA ABREU GARCIA" u="1"/>
        <s v="JAVIER RAMIREZ MANES" u="1"/>
        <s v="YAMILKA JOAMIS PENA BORROTO" u="1"/>
        <s v="YOANDRO DIEGUEZ GARCIA" u="1"/>
        <s v="DIAMARA RODRIGUEZ PEREZ" u="1"/>
      </sharedItems>
    </cacheField>
    <cacheField name="MOTIVO DESPACHO" numFmtId="0">
      <sharedItems containsBlank="1"/>
    </cacheField>
    <cacheField name="CARNET IDENTIDAD" numFmtId="0">
      <sharedItems containsString="0" containsBlank="1" containsNumber="1" containsInteger="1" minValue="55121828998" maxValue="86111716100"/>
    </cacheField>
    <cacheField name="ESPECIALIDAD" numFmtId="0">
      <sharedItems containsBlank="1"/>
    </cacheField>
    <cacheField name="FECHA CONTRATO INDIVIDUAL" numFmtId="14">
      <sharedItems containsNonDate="0" containsDate="1" containsString="0" containsBlank="1" minDate="1970-01-01T00:00:00" maxDate="2021-01-02T00:00:00"/>
    </cacheField>
    <cacheField name="NOMBRE CONTRATO" numFmtId="0">
      <sharedItems containsBlank="1"/>
    </cacheField>
    <cacheField name="SALARIO" numFmtId="0">
      <sharedItems containsString="0" containsBlank="1" containsNumber="1" containsInteger="1" minValue="600" maxValue="1200"/>
    </cacheField>
    <cacheField name="Fecha de despacho" numFmtId="0">
      <sharedItems containsNonDate="0" containsDate="1" containsString="0" containsBlank="1" minDate="2021-06-22T00:00:00" maxDate="2021-06-24T00:00:00"/>
    </cacheField>
    <cacheField name="Importe reservado   por nómina" numFmtId="43">
      <sharedItems containsString="0" containsBlank="1" containsNumber="1" minValue="0" maxValue="1812558"/>
    </cacheField>
    <cacheField name="Total m3" numFmtId="43">
      <sharedItems containsSemiMixedTypes="0" containsString="0" containsNumber="1" minValue="0" maxValue="6.41"/>
    </cacheField>
    <cacheField name="Importe " numFmtId="43">
      <sharedItems containsSemiMixedTypes="0" containsString="0" containsNumber="1" minValue="0" maxValue="884137.90229999996"/>
    </cacheField>
    <cacheField name="Plus para completar contenedor AKZ" numFmtId="43">
      <sharedItems containsSemiMixedTypes="0" containsString="0" containsNumber="1" minValue="0" maxValue="1614472.9376634557"/>
    </cacheField>
    <cacheField name="Total a pagar " numFmtId="43">
      <sharedItems containsSemiMixedTypes="0" containsString="0" containsNumber="1" minValue="0" maxValue="2320679.811263456"/>
    </cacheField>
    <cacheField name="Importe pendiente de pago" numFmtId="43">
      <sharedItems containsSemiMixedTypes="0" containsString="0" containsNumber="1" minValue="-1680519" maxValue="1888531.8608465604"/>
    </cacheField>
    <cacheField name="Total m3 " numFmtId="43">
      <sharedItems containsSemiMixedTypes="0" containsString="0" containsNumber="1" minValue="0" maxValue="5.3080537326159325"/>
    </cacheField>
    <cacheField name="Importe 2" numFmtId="0">
      <sharedItems containsSemiMixedTypes="0" containsString="0" containsNumber="1" minValue="0" maxValue="732145.3186350601"/>
    </cacheField>
    <cacheField name="Total m32" numFmtId="43">
      <sharedItems containsString="0" containsBlank="1" containsNumber="1" minValue="-3.1123430767973974" maxValue="13.691856436122897"/>
    </cacheField>
    <cacheField name="Importe 3" numFmtId="43">
      <sharedItems containsSemiMixedTypes="0" containsString="0" containsNumber="1" minValue="-429288.68629603414" maxValue="1888531.8608465604"/>
    </cacheField>
    <cacheField name="Valor MONEDA DE CAMBIO" numFmtId="43">
      <sharedItems containsSemiMixedTypes="0" containsString="0" containsNumber="1" minValue="-655.40257449776209" maxValue="2883.2547493840616"/>
    </cacheField>
    <cacheField name="Importe por importación X m3" numFmtId="43">
      <sharedItems containsSemiMixedTypes="0" containsString="0" containsNumber="1" minValue="0" maxValue="1768.2758620689658"/>
    </cacheField>
    <cacheField name="CONTENEDOR" numFmtId="1">
      <sharedItems containsSemiMixedTypes="0" containsString="0" containsNumber="1" containsInteger="1" minValue="0" maxValue="3" count="4">
        <n v="3"/>
        <n v="2"/>
        <n v="1"/>
        <n v="0"/>
      </sharedItems>
    </cacheField>
    <cacheField name="Total de kg" numFmtId="43">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1">
  <r>
    <n v="25451"/>
    <n v="9301"/>
    <x v="0"/>
    <s v="FIN DE CONTRATO"/>
    <n v="60092906054"/>
    <s v="Auxiliar"/>
    <d v="2018-08-01T00:00:00"/>
    <s v="SUPLEMENTO 2"/>
    <n v="1200"/>
    <d v="2021-06-22T00:00:00"/>
    <n v="1812558"/>
    <n v="4.5999999999999996"/>
    <n v="634482.7379999999"/>
    <n v="1528950.4662328039"/>
    <n v="2163433.2042328035"/>
    <n v="350875.20423280355"/>
    <n v="0"/>
    <n v="0"/>
    <n v="2.5438453133627985"/>
    <n v="350875.20423280355"/>
    <n v="535.68733470657025"/>
    <n v="1268.9655172413793"/>
    <x v="0"/>
    <n v="0"/>
  </r>
  <r>
    <n v="24772"/>
    <n v="9301"/>
    <x v="1"/>
    <s v="FIN DE CONTRATO"/>
    <n v="65011113348"/>
    <s v="Auxiliar"/>
    <d v="2017-11-01T00:00:00"/>
    <s v="SUPLEMENTO 3"/>
    <n v="1200"/>
    <d v="2021-06-22T00:00:00"/>
    <n v="1676342"/>
    <n v="3.22"/>
    <n v="444137.9166"/>
    <n v="506419.01802413992"/>
    <n v="950556.93462413992"/>
    <n v="-725785.06537586008"/>
    <n v="0"/>
    <n v="0"/>
    <n v="0"/>
    <n v="0"/>
    <n v="0"/>
    <n v="888.27586206896569"/>
    <x v="1"/>
    <n v="0"/>
  </r>
  <r>
    <n v="25670"/>
    <n v="9301"/>
    <x v="2"/>
    <s v="FIN DE CONTRATO"/>
    <n v="77080406421"/>
    <s v="Auxiliar"/>
    <d v="2018-11-01T00:00:00"/>
    <s v="SUPLEMENTO 4"/>
    <n v="1200"/>
    <d v="2021-06-22T00:00:00"/>
    <n v="1607845"/>
    <n v="3.5"/>
    <n v="482758.60499999998"/>
    <n v="1163331.8764814814"/>
    <n v="1646090.4814814813"/>
    <n v="38245.481481481344"/>
    <n v="0"/>
    <n v="0"/>
    <n v="0.27727974975233161"/>
    <n v="38245.481481481344"/>
    <n v="58.390048063330298"/>
    <n v="965.51724137931046"/>
    <x v="0"/>
    <n v="0"/>
  </r>
  <r>
    <n v="25160"/>
    <n v="9301"/>
    <x v="3"/>
    <s v="FIN DE CONTRATO"/>
    <n v="72050628852"/>
    <s v="Auxiliar"/>
    <d v="2018-07-01T00:00:00"/>
    <s v="SUPLEMENTO 5"/>
    <n v="950"/>
    <d v="2021-06-22T00:00:00"/>
    <n v="321932.5"/>
    <n v="4.7"/>
    <n v="648275.84100000001"/>
    <n v="1562188.5198465607"/>
    <n v="2210464.3608465604"/>
    <n v="1888531.8608465604"/>
    <n v="0"/>
    <n v="0"/>
    <n v="13.691856436122897"/>
    <n v="1888531.8608465604"/>
    <n v="2883.2547493840616"/>
    <n v="1296.5517241379312"/>
    <x v="0"/>
    <n v="0"/>
  </r>
  <r>
    <n v="15727"/>
    <n v="9410"/>
    <x v="4"/>
    <s v="FIN DE CONTRATO"/>
    <n v="86111716100"/>
    <s v="Auxiliar"/>
    <d v="2021-01-01T00:00:00"/>
    <s v="SUPLEMENTO 6"/>
    <n v="652"/>
    <d v="2021-06-22T00:00:00"/>
    <n v="0"/>
    <n v="0.36"/>
    <n v="49655.1708"/>
    <n v="113517.62842946172"/>
    <n v="163172.79922946173"/>
    <n v="163172.79922946173"/>
    <n v="0.33695584710106502"/>
    <n v="46476.667055172409"/>
    <n v="0.8460469857601246"/>
    <n v="116696.13217428932"/>
    <n v="178.16203385387684"/>
    <n v="99.310344827586206"/>
    <x v="2"/>
    <n v="0"/>
  </r>
  <r>
    <n v="21401"/>
    <n v="9301"/>
    <x v="5"/>
    <s v="FIN DE CONTRATO"/>
    <n v="67092033228"/>
    <s v="Auxiliar"/>
    <d v="2018-08-01T00:00:00"/>
    <s v="SUPLEMENTO 7"/>
    <n v="1200"/>
    <d v="2021-06-23T00:00:00"/>
    <n v="0"/>
    <n v="0"/>
    <n v="0"/>
    <n v="0"/>
    <n v="0"/>
    <n v="0"/>
    <n v="0"/>
    <n v="0"/>
    <n v="0"/>
    <n v="0"/>
    <n v="0"/>
    <n v="0"/>
    <x v="3"/>
    <n v="0"/>
  </r>
  <r>
    <n v="16172"/>
    <n v="9301"/>
    <x v="6"/>
    <s v="FIN DE CONTRATO"/>
    <n v="62030124717"/>
    <s v="Auxiliar"/>
    <d v="2018-08-01T00:00:00"/>
    <s v="SUPLEMENTO 8"/>
    <n v="1200"/>
    <d v="2021-06-22T00:00:00"/>
    <n v="0"/>
    <n v="5.63"/>
    <n v="776551.69889999996"/>
    <n v="885444.79880924989"/>
    <n v="1661996.4977092498"/>
    <n v="1661996.4977092498"/>
    <n v="5.3080537326159325"/>
    <n v="732145.3186350601"/>
    <m/>
    <n v="929851.17907418974"/>
    <n v="1419.6201207239537"/>
    <n v="1553.1034482758621"/>
    <x v="1"/>
    <n v="0"/>
  </r>
  <r>
    <n v="21708"/>
    <n v="9301"/>
    <x v="7"/>
    <s v="FIN DE CONTRATO"/>
    <n v="58061607574"/>
    <s v="Auxiliar"/>
    <d v="2017-05-01T00:00:00"/>
    <s v="SUPLEMENTO 9"/>
    <n v="600"/>
    <d v="2021-06-22T00:00:00"/>
    <n v="675010"/>
    <n v="4.58"/>
    <n v="631724.11739999999"/>
    <n v="1444196.4950192629"/>
    <n v="2075920.612419263"/>
    <n v="1400910.612419263"/>
    <n v="4.2868270685718795"/>
    <n v="591286.473"/>
    <n v="5.869775201557351"/>
    <n v="809624.139419263"/>
    <n v="1236.0673884263558"/>
    <n v="1263.4482758620691"/>
    <x v="2"/>
    <n v="0"/>
  </r>
  <r>
    <n v="24207"/>
    <n v="9301"/>
    <x v="8"/>
    <s v="FIN DE CONTRATO"/>
    <n v="70042500733"/>
    <s v="Auxiliar"/>
    <d v="2018-09-01T00:00:00"/>
    <s v="SUPLEMENTO 10"/>
    <n v="1200"/>
    <d v="2021-06-22T00:00:00"/>
    <n v="1677289"/>
    <n v="3.85"/>
    <n v="531034.46550000005"/>
    <n v="1214007.9707039658"/>
    <n v="1745042.4362039659"/>
    <n v="67753.436203965917"/>
    <n v="3.6035555052405543"/>
    <n v="497042.12250000006"/>
    <n v="-3.1123430767973974"/>
    <n v="-429288.68629603414"/>
    <n v="-655.40257449776209"/>
    <n v="1062.0689655172414"/>
    <x v="2"/>
    <n v="0"/>
  </r>
  <r>
    <n v="25484"/>
    <n v="9301"/>
    <x v="9"/>
    <s v="FIN DE CONTRATO"/>
    <n v="74041114658"/>
    <s v="Auxiliar"/>
    <d v="2018-08-01T00:00:00"/>
    <s v="SUPLEMENTO 11"/>
    <n v="950"/>
    <d v="2021-06-22T00:00:00"/>
    <n v="0"/>
    <n v="4.13"/>
    <n v="569655.15390000003"/>
    <n v="649539.28923479991"/>
    <n v="1219194.4431348001"/>
    <n v="1219194.4431348001"/>
    <n v="0"/>
    <n v="0"/>
    <n v="8.8391599999999997"/>
    <n v="1219194.4431348001"/>
    <n v="1861.3655620378627"/>
    <n v="1139.3103448275863"/>
    <x v="1"/>
    <n v="0"/>
  </r>
  <r>
    <n v="25295"/>
    <n v="9301"/>
    <x v="10"/>
    <s v="FIN DE CONTRATO"/>
    <n v="81022806116"/>
    <s v="Auxiliar"/>
    <d v="2018-06-01T00:00:00"/>
    <s v="SUPLEMENTO 12"/>
    <n v="1200"/>
    <d v="2021-06-22T00:00:00"/>
    <n v="1680519"/>
    <n v="4.5"/>
    <n v="620689.63500000001"/>
    <n v="707716.52872334991"/>
    <n v="1328406.16372335"/>
    <n v="-352112.83627664996"/>
    <n v="0"/>
    <n v="0"/>
    <n v="0"/>
    <n v="0"/>
    <n v="0"/>
    <n v="1241.3793103448277"/>
    <x v="1"/>
    <n v="0"/>
  </r>
  <r>
    <n v="25440"/>
    <n v="9301"/>
    <x v="11"/>
    <s v="FIN DE CONTRATO"/>
    <n v="76031900372"/>
    <s v="Auxiliar"/>
    <d v="2018-06-01T00:00:00"/>
    <s v="SUPLEMENTO 13"/>
    <n v="1200"/>
    <d v="2021-06-22T00:00:00"/>
    <n v="1081626"/>
    <n v="3.21"/>
    <n v="442758.60629999998"/>
    <n v="504842.05255814997"/>
    <n v="947600.65885815001"/>
    <n v="-134025.34114184999"/>
    <n v="0"/>
    <n v="0"/>
    <n v="0"/>
    <n v="0"/>
    <n v="0"/>
    <n v="885.51724137931046"/>
    <x v="1"/>
    <n v="0"/>
  </r>
  <r>
    <n v="23656"/>
    <n v="9301"/>
    <x v="12"/>
    <s v="FIN DE CONTRATO"/>
    <n v="75041041579"/>
    <s v="Auxiliar"/>
    <d v="2018-09-01T00:00:00"/>
    <s v="SUPLEMENTO 14"/>
    <n v="1200"/>
    <d v="2021-06-23T00:00:00"/>
    <n v="1081626"/>
    <n v="0"/>
    <n v="0"/>
    <n v="0"/>
    <n v="0"/>
    <n v="-1081626"/>
    <n v="0"/>
    <n v="0"/>
    <n v="0"/>
    <n v="0"/>
    <n v="0"/>
    <n v="0"/>
    <x v="3"/>
    <n v="0"/>
  </r>
  <r>
    <n v="25471"/>
    <n v="9301"/>
    <x v="13"/>
    <s v="FIN DE CONTRATO"/>
    <n v="81112515243"/>
    <s v="Auxiliar"/>
    <d v="2018-08-01T00:00:00"/>
    <s v="SUPLEMENTO 15"/>
    <n v="950"/>
    <d v="2021-06-23T00:00:00"/>
    <n v="1232029.5"/>
    <n v="0"/>
    <n v="0"/>
    <n v="0"/>
    <n v="0"/>
    <n v="-1232029.5"/>
    <n v="0"/>
    <n v="0"/>
    <n v="0"/>
    <n v="0"/>
    <n v="0"/>
    <n v="0"/>
    <x v="3"/>
    <n v="0"/>
  </r>
  <r>
    <n v="23642"/>
    <n v="9301"/>
    <x v="14"/>
    <s v="FIN DE CONTRATO"/>
    <n v="55121828998"/>
    <s v="Auxiliar"/>
    <d v="2018-03-01T00:00:00"/>
    <s v="SUPLEMENTO 16"/>
    <n v="778"/>
    <d v="2021-06-23T00:00:00"/>
    <n v="884974.5"/>
    <n v="0"/>
    <n v="0"/>
    <n v="0"/>
    <n v="0"/>
    <n v="-884974.5"/>
    <n v="0"/>
    <n v="0"/>
    <n v="0"/>
    <n v="0"/>
    <n v="0"/>
    <n v="0"/>
    <x v="3"/>
    <n v="0"/>
  </r>
  <r>
    <n v="25167"/>
    <n v="9421"/>
    <x v="15"/>
    <s v="FIN DE CONTRATO"/>
    <n v="63121716963"/>
    <s v="Auxiliar"/>
    <d v="2018-06-07T00:00:00"/>
    <s v="SUPLEMENTO 17"/>
    <n v="612"/>
    <d v="2021-06-23T00:00:00"/>
    <n v="421382"/>
    <n v="0"/>
    <n v="0"/>
    <n v="0"/>
    <n v="0"/>
    <n v="-421382"/>
    <n v="0"/>
    <n v="0"/>
    <n v="0"/>
    <n v="0"/>
    <n v="0"/>
    <n v="0"/>
    <x v="3"/>
    <n v="0"/>
  </r>
  <r>
    <n v="24079"/>
    <n v="9301"/>
    <x v="16"/>
    <s v="FIN DE CONTRATO"/>
    <n v="68121907878"/>
    <s v="Auxiliar"/>
    <d v="2017-03-01T00:00:00"/>
    <s v="SUPLEMENTO 18"/>
    <n v="1200"/>
    <d v="2021-06-22T00:00:00"/>
    <n v="1171546"/>
    <n v="6.41"/>
    <n v="884137.90229999996"/>
    <n v="1008107.1396503099"/>
    <n v="1892245.0419503099"/>
    <n v="720699.04195030988"/>
    <n v="0"/>
    <n v="0"/>
    <n v="5.2250682239544641"/>
    <n v="720699.04195030988"/>
    <n v="1100.3038808401677"/>
    <n v="1768.2758620689658"/>
    <x v="1"/>
    <n v="0"/>
  </r>
  <r>
    <n v="24715"/>
    <n v="9301"/>
    <x v="17"/>
    <s v="FIN DE CONTRATO"/>
    <n v="71012801815"/>
    <s v="Auxiliar"/>
    <d v="2019-03-27T00:00:00"/>
    <s v="SUPLEMENTO 19"/>
    <n v="1200"/>
    <d v="2021-06-23T00:00:00"/>
    <n v="1680519"/>
    <n v="0"/>
    <n v="0"/>
    <n v="0"/>
    <n v="0"/>
    <n v="-1680519"/>
    <n v="0"/>
    <n v="0"/>
    <n v="0"/>
    <n v="0"/>
    <n v="0"/>
    <n v="0"/>
    <x v="3"/>
    <n v="0"/>
  </r>
  <r>
    <n v="24503"/>
    <n v="9301"/>
    <x v="18"/>
    <s v="FIN DE CONTRATO"/>
    <n v="61012708433"/>
    <s v="Auxiliar"/>
    <d v="2017-08-01T00:00:00"/>
    <s v="SUPLEMENTO 20"/>
    <n v="1200"/>
    <d v="2021-06-22T00:00:00"/>
    <n v="1116500"/>
    <n v="4.21"/>
    <n v="580689.63630000001"/>
    <n v="1399322.0571391529"/>
    <n v="1980011.693439153"/>
    <n v="863511.69343915302"/>
    <n v="0"/>
    <n v="0"/>
    <n v="6.2604599808988093"/>
    <n v="863511.69343915302"/>
    <n v="1318.3384632658824"/>
    <n v="1161.3793103448277"/>
    <x v="0"/>
    <n v="0"/>
  </r>
  <r>
    <n v="27051"/>
    <n v="9301"/>
    <x v="19"/>
    <s v="FIN DE CONTRATO"/>
    <n v="66103122626"/>
    <s v="Auxiliar"/>
    <d v="1970-01-01T00:00:00"/>
    <s v="SUPLEMENTO 21"/>
    <n v="950"/>
    <d v="2021-06-23T00:00:00"/>
    <n v="0"/>
    <n v="0"/>
    <n v="0"/>
    <n v="0"/>
    <n v="0"/>
    <n v="0"/>
    <n v="0"/>
    <n v="0"/>
    <n v="0"/>
    <n v="0"/>
    <n v="0"/>
    <n v="0"/>
    <x v="3"/>
    <n v="0"/>
  </r>
  <r>
    <n v="24644"/>
    <n v="9301"/>
    <x v="20"/>
    <s v="FIN DE CONTRATO"/>
    <n v="84060209779"/>
    <s v="Auxiliar"/>
    <d v="2018-11-01T00:00:00"/>
    <s v="SUPLEMENTO 22"/>
    <n v="1200"/>
    <d v="2021-06-23T00:00:00"/>
    <n v="1673969"/>
    <n v="0"/>
    <n v="0"/>
    <n v="0"/>
    <n v="0"/>
    <n v="-1673969"/>
    <n v="0"/>
    <n v="0"/>
    <n v="0"/>
    <n v="0"/>
    <n v="0"/>
    <n v="0"/>
    <x v="3"/>
    <n v="0"/>
  </r>
  <r>
    <n v="23755"/>
    <n v="9301"/>
    <x v="21"/>
    <s v="FIN DE CONTRATO"/>
    <n v="80123106163"/>
    <s v="Auxiliar"/>
    <d v="2019-06-11T00:00:00"/>
    <s v="SUPLEMENTO 23"/>
    <n v="1200"/>
    <d v="2021-06-22T00:00:00"/>
    <n v="1075127"/>
    <n v="3.74"/>
    <n v="515862.05220000003"/>
    <n v="1179322.0286838524"/>
    <n v="1695184.0808838524"/>
    <n v="620057.08088385244"/>
    <n v="0"/>
    <n v="0"/>
    <n v="4.495413982508885"/>
    <n v="620057.08088385244"/>
    <n v="946.65203188374414"/>
    <n v="1031.7241379310346"/>
    <x v="2"/>
    <n v="0"/>
  </r>
  <r>
    <n v="26426"/>
    <n v="9301"/>
    <x v="22"/>
    <s v="FIN DE CONTRATO"/>
    <n v="82102231040"/>
    <s v="Auxiliar"/>
    <d v="2019-08-01T00:00:00"/>
    <s v="SUPLEMENTO 24"/>
    <n v="1200"/>
    <d v="2021-06-22T00:00:00"/>
    <n v="1116500"/>
    <n v="5.12"/>
    <n v="706206.87360000005"/>
    <n v="1614472.9376634557"/>
    <n v="2320679.811263456"/>
    <n v="1204179.811263456"/>
    <n v="0"/>
    <n v="0"/>
    <n v="8.7303039153949342"/>
    <n v="1204179.811263456"/>
    <n v="1838.4424599442077"/>
    <n v="1412.4137931034484"/>
    <x v="2"/>
    <n v="0"/>
  </r>
  <r>
    <m/>
    <m/>
    <x v="23"/>
    <m/>
    <m/>
    <m/>
    <m/>
    <m/>
    <m/>
    <m/>
    <m/>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r>
    <m/>
    <m/>
    <x v="23"/>
    <m/>
    <m/>
    <m/>
    <m/>
    <m/>
    <m/>
    <m/>
    <n v="0"/>
    <n v="0"/>
    <n v="0"/>
    <n v="0"/>
    <n v="0"/>
    <n v="0"/>
    <n v="0"/>
    <n v="0"/>
    <n v="0"/>
    <n v="0"/>
    <n v="0"/>
    <n v="0"/>
    <x v="3"/>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1000000}" name="Tabla dinámica3" cacheId="56" applyNumberFormats="0" applyBorderFormats="0" applyFontFormats="0" applyPatternFormats="0" applyAlignmentFormats="0" applyWidthHeightFormats="1" dataCaption="Valores" updatedVersion="7" minRefreshableVersion="3" useAutoFormatting="1" itemPrintTitles="1" createdVersion="5" indent="0" outline="1" outlineData="1" multipleFieldFilters="0" rowHeaderCaption="Cooperantes por contenedor">
  <location ref="A3:C23" firstHeaderRow="0" firstDataRow="1" firstDataCol="1"/>
  <pivotFields count="24">
    <pivotField showAll="0"/>
    <pivotField showAll="0"/>
    <pivotField axis="axisRow" showAll="0" sortType="ascending">
      <items count="93">
        <item m="1" x="85"/>
        <item m="1" x="72"/>
        <item m="1" x="25"/>
        <item m="1" x="47"/>
        <item m="1" x="70"/>
        <item m="1" x="46"/>
        <item m="1" x="44"/>
        <item m="1" x="48"/>
        <item m="1" x="50"/>
        <item m="1" x="69"/>
        <item m="1" x="91"/>
        <item m="1" x="55"/>
        <item m="1" x="36"/>
        <item m="1" x="40"/>
        <item m="1" x="30"/>
        <item m="1" x="71"/>
        <item m="1" x="63"/>
        <item m="1" x="84"/>
        <item m="1" x="43"/>
        <item m="1" x="87"/>
        <item m="1" x="53"/>
        <item m="1" x="75"/>
        <item m="1" x="42"/>
        <item m="1" x="45"/>
        <item m="1" x="88"/>
        <item m="1" x="83"/>
        <item m="1" x="26"/>
        <item m="1" x="56"/>
        <item m="1" x="29"/>
        <item m="1" x="60"/>
        <item m="1" x="39"/>
        <item m="1" x="80"/>
        <item m="1" x="82"/>
        <item m="1" x="54"/>
        <item m="1" x="74"/>
        <item m="1" x="79"/>
        <item m="1" x="62"/>
        <item m="1" x="73"/>
        <item m="1" x="37"/>
        <item m="1" x="27"/>
        <item m="1" x="81"/>
        <item m="1" x="65"/>
        <item m="1" x="38"/>
        <item m="1" x="86"/>
        <item m="1" x="28"/>
        <item m="1" x="61"/>
        <item m="1" x="52"/>
        <item m="1" x="57"/>
        <item m="1" x="76"/>
        <item m="1" x="68"/>
        <item m="1" x="49"/>
        <item m="1" x="58"/>
        <item m="1" x="67"/>
        <item m="1" x="64"/>
        <item m="1" x="33"/>
        <item m="1" x="78"/>
        <item m="1" x="66"/>
        <item m="1" x="24"/>
        <item m="1" x="51"/>
        <item m="1" x="34"/>
        <item x="0"/>
        <item x="1"/>
        <item x="2"/>
        <item x="3"/>
        <item x="4"/>
        <item x="5"/>
        <item x="6"/>
        <item x="7"/>
        <item x="8"/>
        <item x="9"/>
        <item x="10"/>
        <item x="11"/>
        <item x="12"/>
        <item x="13"/>
        <item x="14"/>
        <item x="15"/>
        <item x="16"/>
        <item x="17"/>
        <item x="18"/>
        <item x="19"/>
        <item x="20"/>
        <item x="21"/>
        <item x="22"/>
        <item m="1" x="35"/>
        <item m="1" x="77"/>
        <item m="1" x="59"/>
        <item m="1" x="89"/>
        <item m="1" x="41"/>
        <item m="1" x="90"/>
        <item m="1" x="31"/>
        <item m="1" x="32"/>
        <item x="23"/>
        <item t="default"/>
      </items>
    </pivotField>
    <pivotField showAll="0"/>
    <pivotField showAll="0" defaultSubtotal="0"/>
    <pivotField showAll="0" defaultSubtotal="0"/>
    <pivotField showAll="0" defaultSubtotal="0"/>
    <pivotField showAll="0"/>
    <pivotField showAll="0" defaultSubtotal="0"/>
    <pivotField showAll="0" defaultSubtotal="0"/>
    <pivotField showAll="0"/>
    <pivotField dataField="1" numFmtId="2" showAll="0"/>
    <pivotField numFmtId="43" showAll="0"/>
    <pivotField numFmtId="43" showAll="0" defaultSubtotal="0"/>
    <pivotField numFmtId="43" showAll="0"/>
    <pivotField numFmtId="43" showAll="0"/>
    <pivotField numFmtId="2" showAll="0"/>
    <pivotField showAll="0"/>
    <pivotField numFmtId="2" showAll="0"/>
    <pivotField numFmtId="43" showAll="0"/>
    <pivotField numFmtId="43" showAll="0"/>
    <pivotField numFmtId="43" showAll="0"/>
    <pivotField axis="axisRow" numFmtId="1" showAll="0" sortType="ascending">
      <items count="5">
        <item sd="0" x="3"/>
        <item x="2"/>
        <item x="1"/>
        <item x="0"/>
        <item t="default"/>
      </items>
    </pivotField>
    <pivotField numFmtId="2" showAll="0"/>
  </pivotFields>
  <rowFields count="2">
    <field x="22"/>
    <field x="2"/>
  </rowFields>
  <rowItems count="20">
    <i>
      <x/>
    </i>
    <i>
      <x v="1"/>
    </i>
    <i r="1">
      <x v="64"/>
    </i>
    <i r="1">
      <x v="67"/>
    </i>
    <i r="1">
      <x v="68"/>
    </i>
    <i r="1">
      <x v="81"/>
    </i>
    <i r="1">
      <x v="82"/>
    </i>
    <i>
      <x v="2"/>
    </i>
    <i r="1">
      <x v="61"/>
    </i>
    <i r="1">
      <x v="66"/>
    </i>
    <i r="1">
      <x v="69"/>
    </i>
    <i r="1">
      <x v="70"/>
    </i>
    <i r="1">
      <x v="71"/>
    </i>
    <i r="1">
      <x v="76"/>
    </i>
    <i>
      <x v="3"/>
    </i>
    <i r="1">
      <x v="60"/>
    </i>
    <i r="1">
      <x v="62"/>
    </i>
    <i r="1">
      <x v="63"/>
    </i>
    <i r="1">
      <x v="78"/>
    </i>
    <i t="grand">
      <x/>
    </i>
  </rowItems>
  <colFields count="1">
    <field x="-2"/>
  </colFields>
  <colItems count="2">
    <i>
      <x/>
    </i>
    <i i="1">
      <x v="1"/>
    </i>
  </colItems>
  <dataFields count="2">
    <dataField name="m3 x colaborador" fld="11" baseField="15" baseItem="0"/>
    <dataField name="% paquetes por cooperantes" fld="11" baseField="17" baseItem="1" numFmtId="10">
      <extLst>
        <ext xmlns:x14="http://schemas.microsoft.com/office/spreadsheetml/2009/9/main" uri="{E15A36E0-9728-4e99-A89B-3F7291B0FE68}">
          <x14:dataField pivotShowAs="percentOfParentRow"/>
        </ext>
      </extLst>
    </dataField>
  </dataFields>
  <formats count="15">
    <format dxfId="18">
      <pivotArea outline="0" fieldPosition="0">
        <references count="1">
          <reference field="4294967294" count="1">
            <x v="1"/>
          </reference>
        </references>
      </pivotArea>
    </format>
    <format dxfId="17">
      <pivotArea dataOnly="0" labelOnly="1" outline="0" fieldPosition="0">
        <references count="1">
          <reference field="4294967294" count="1">
            <x v="1"/>
          </reference>
        </references>
      </pivotArea>
    </format>
    <format dxfId="16">
      <pivotArea dataOnly="0" labelOnly="1" outline="0" fieldPosition="0">
        <references count="1">
          <reference field="4294967294" count="1">
            <x v="0"/>
          </reference>
        </references>
      </pivotArea>
    </format>
    <format dxfId="15">
      <pivotArea dataOnly="0" labelOnly="1" outline="0" fieldPosition="0">
        <references count="1">
          <reference field="4294967294" count="1">
            <x v="0"/>
          </reference>
        </references>
      </pivotArea>
    </format>
    <format dxfId="14">
      <pivotArea field="22" type="button" dataOnly="0" labelOnly="1" outline="0" axis="axisRow" fieldPosition="0"/>
    </format>
    <format dxfId="13">
      <pivotArea dataOnly="0" labelOnly="1" outline="0" fieldPosition="0">
        <references count="1">
          <reference field="4294967294" count="2">
            <x v="0"/>
            <x v="1"/>
          </reference>
        </references>
      </pivotArea>
    </format>
    <format dxfId="12">
      <pivotArea field="22" type="button" dataOnly="0" labelOnly="1" outline="0" axis="axisRow" fieldPosition="0"/>
    </format>
    <format dxfId="11">
      <pivotArea dataOnly="0" labelOnly="1" outline="0" fieldPosition="0">
        <references count="1">
          <reference field="4294967294" count="2">
            <x v="0"/>
            <x v="1"/>
          </reference>
        </references>
      </pivotArea>
    </format>
    <format dxfId="10">
      <pivotArea field="22" type="button" dataOnly="0" labelOnly="1" outline="0" axis="axisRow" fieldPosition="0"/>
    </format>
    <format dxfId="9">
      <pivotArea dataOnly="0" labelOnly="1" outline="0" fieldPosition="0">
        <references count="1">
          <reference field="4294967294" count="2">
            <x v="0"/>
            <x v="1"/>
          </reference>
        </references>
      </pivotArea>
    </format>
    <format dxfId="8">
      <pivotArea field="22" type="button" dataOnly="0" labelOnly="1" outline="0" axis="axisRow" fieldPosition="0"/>
    </format>
    <format dxfId="7">
      <pivotArea dataOnly="0" labelOnly="1" outline="0" fieldPosition="0">
        <references count="1">
          <reference field="4294967294" count="2">
            <x v="0"/>
            <x v="1"/>
          </reference>
        </references>
      </pivotArea>
    </format>
    <format dxfId="6">
      <pivotArea collapsedLevelsAreSubtotals="1" fieldPosition="0">
        <references count="3">
          <reference field="4294967294" count="1" selected="0">
            <x v="0"/>
          </reference>
          <reference field="2" count="9">
            <x v="4"/>
            <x v="7"/>
            <x v="21"/>
            <x v="30"/>
            <x v="38"/>
            <x v="42"/>
            <x v="43"/>
            <x v="46"/>
            <x v="52"/>
          </reference>
          <reference field="22" count="1" selected="0">
            <x v="1"/>
          </reference>
        </references>
      </pivotArea>
    </format>
    <format dxfId="5">
      <pivotArea collapsedLevelsAreSubtotals="1" fieldPosition="0">
        <references count="2">
          <reference field="4294967294" count="1" selected="0">
            <x v="0"/>
          </reference>
          <reference field="22" count="1">
            <x v="1"/>
          </reference>
        </references>
      </pivotArea>
    </format>
    <format dxfId="4">
      <pivotArea field="22" grandRow="1" outline="0" collapsedLevelsAreSubtotals="1" axis="axisRow"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Tabla dinámica1" cacheId="56" applyNumberFormats="0" applyBorderFormats="0" applyFontFormats="0" applyPatternFormats="0" applyAlignmentFormats="0" applyWidthHeightFormats="1" dataCaption="Valores" updatedVersion="7" minRefreshableVersion="3" useAutoFormatting="1" itemPrintTitles="1" createdVersion="5" indent="0" outline="1" outlineData="1" multipleFieldFilters="0" rowHeaderCaption="CONTENEDORES">
  <location ref="G3:I8" firstHeaderRow="0" firstDataRow="1" firstDataCol="1"/>
  <pivotFields count="24">
    <pivotField dataField="1" showAll="0"/>
    <pivotField showAll="0"/>
    <pivotField showAll="0"/>
    <pivotField showAll="0"/>
    <pivotField showAll="0" defaultSubtotal="0"/>
    <pivotField showAll="0" defaultSubtotal="0"/>
    <pivotField showAll="0" defaultSubtotal="0"/>
    <pivotField showAll="0"/>
    <pivotField showAll="0" defaultSubtotal="0"/>
    <pivotField showAll="0" defaultSubtotal="0"/>
    <pivotField showAll="0"/>
    <pivotField dataField="1" numFmtId="2" showAll="0"/>
    <pivotField numFmtId="43" showAll="0"/>
    <pivotField numFmtId="43" showAll="0" defaultSubtotal="0"/>
    <pivotField numFmtId="43" showAll="0"/>
    <pivotField numFmtId="43" showAll="0"/>
    <pivotField numFmtId="2" showAll="0"/>
    <pivotField showAll="0"/>
    <pivotField numFmtId="2" showAll="0"/>
    <pivotField numFmtId="43" showAll="0"/>
    <pivotField numFmtId="43" showAll="0"/>
    <pivotField numFmtId="43" showAll="0"/>
    <pivotField axis="axisRow" numFmtId="1" showAll="0" sortType="ascending">
      <items count="5">
        <item x="3"/>
        <item x="2"/>
        <item x="1"/>
        <item x="0"/>
        <item t="default"/>
      </items>
    </pivotField>
    <pivotField numFmtId="2" showAll="0"/>
  </pivotFields>
  <rowFields count="1">
    <field x="22"/>
  </rowFields>
  <rowItems count="5">
    <i>
      <x/>
    </i>
    <i>
      <x v="1"/>
    </i>
    <i>
      <x v="2"/>
    </i>
    <i>
      <x v="3"/>
    </i>
    <i t="grand">
      <x/>
    </i>
  </rowItems>
  <colFields count="1">
    <field x="-2"/>
  </colFields>
  <colItems count="2">
    <i>
      <x/>
    </i>
    <i i="1">
      <x v="1"/>
    </i>
  </colItems>
  <dataFields count="2">
    <dataField name="Suma" fld="11" baseField="21" baseItem="1"/>
    <dataField name="Cooperantes" fld="0" subtotal="count" baseField="21" baseItem="0"/>
  </dataFields>
  <formats count="18">
    <format dxfId="36">
      <pivotArea collapsedLevelsAreSubtotals="1" fieldPosition="0">
        <references count="2">
          <reference field="4294967294" count="1" selected="0">
            <x v="0"/>
          </reference>
          <reference field="22" count="1">
            <x v="0"/>
          </reference>
        </references>
      </pivotArea>
    </format>
    <format dxfId="35">
      <pivotArea collapsedLevelsAreSubtotals="1" fieldPosition="0">
        <references count="2">
          <reference field="4294967294" count="1" selected="0">
            <x v="0"/>
          </reference>
          <reference field="22" count="1">
            <x v="1"/>
          </reference>
        </references>
      </pivotArea>
    </format>
    <format dxfId="34">
      <pivotArea collapsedLevelsAreSubtotals="1" fieldPosition="0">
        <references count="2">
          <reference field="4294967294" count="1" selected="0">
            <x v="0"/>
          </reference>
          <reference field="22" count="1">
            <x v="1"/>
          </reference>
        </references>
      </pivotArea>
    </format>
    <format dxfId="33">
      <pivotArea dataOnly="0" fieldPosition="0">
        <references count="1">
          <reference field="22" count="0"/>
        </references>
      </pivotArea>
    </format>
    <format dxfId="32">
      <pivotArea field="22" type="button" dataOnly="0" labelOnly="1" outline="0" axis="axisRow" fieldPosition="0"/>
    </format>
    <format dxfId="31">
      <pivotArea dataOnly="0" labelOnly="1" outline="0" fieldPosition="0">
        <references count="1">
          <reference field="4294967294" count="1">
            <x v="0"/>
          </reference>
        </references>
      </pivotArea>
    </format>
    <format dxfId="30">
      <pivotArea dataOnly="0" labelOnly="1" outline="0" fieldPosition="0">
        <references count="1">
          <reference field="4294967294" count="1">
            <x v="0"/>
          </reference>
        </references>
      </pivotArea>
    </format>
    <format dxfId="29">
      <pivotArea field="22" type="button" dataOnly="0" labelOnly="1" outline="0" axis="axisRow" fieldPosition="0"/>
    </format>
    <format dxfId="28">
      <pivotArea dataOnly="0" labelOnly="1" outline="0" fieldPosition="0">
        <references count="1">
          <reference field="4294967294" count="1">
            <x v="0"/>
          </reference>
        </references>
      </pivotArea>
    </format>
    <format dxfId="27">
      <pivotArea dataOnly="0" labelOnly="1" outline="0" fieldPosition="0">
        <references count="1">
          <reference field="4294967294" count="1">
            <x v="1"/>
          </reference>
        </references>
      </pivotArea>
    </format>
    <format dxfId="26">
      <pivotArea field="22" type="button" dataOnly="0" labelOnly="1" outline="0" axis="axisRow" fieldPosition="0"/>
    </format>
    <format dxfId="25">
      <pivotArea dataOnly="0" labelOnly="1" outline="0" fieldPosition="0">
        <references count="1">
          <reference field="4294967294" count="2">
            <x v="0"/>
            <x v="1"/>
          </reference>
        </references>
      </pivotArea>
    </format>
    <format dxfId="24">
      <pivotArea field="22" type="button" dataOnly="0" labelOnly="1" outline="0" axis="axisRow" fieldPosition="0"/>
    </format>
    <format dxfId="23">
      <pivotArea dataOnly="0" labelOnly="1" outline="0" fieldPosition="0">
        <references count="1">
          <reference field="4294967294" count="2">
            <x v="0"/>
            <x v="1"/>
          </reference>
        </references>
      </pivotArea>
    </format>
    <format dxfId="22">
      <pivotArea field="22" type="button" dataOnly="0" labelOnly="1" outline="0" axis="axisRow" fieldPosition="0"/>
    </format>
    <format dxfId="21">
      <pivotArea dataOnly="0" labelOnly="1" outline="0" fieldPosition="0">
        <references count="1">
          <reference field="4294967294" count="2">
            <x v="0"/>
            <x v="1"/>
          </reference>
        </references>
      </pivotArea>
    </format>
    <format dxfId="20">
      <pivotArea collapsedLevelsAreSubtotals="1" fieldPosition="0">
        <references count="2">
          <reference field="4294967294" count="1" selected="0">
            <x v="0"/>
          </reference>
          <reference field="22" count="0"/>
        </references>
      </pivotArea>
    </format>
    <format dxfId="19">
      <pivotArea field="22" grandRow="1" outline="0" collapsedLevelsAreSubtotals="1" axis="axisRow" fieldPosition="0">
        <references count="1">
          <reference field="4294967294" count="1" selected="0">
            <x v="0"/>
          </reference>
        </references>
      </pivotArea>
    </format>
  </formats>
  <pivotTableStyleInfo name="PivotStyleLight2" showRowHeaders="1" showColHeaders="1" showRowStripes="0" showColStripes="0" showLastColumn="1"/>
  <extLst>
    <ext xmlns:x14="http://schemas.microsoft.com/office/spreadsheetml/2009/9/main" uri="{962EF5D1-5CA2-4c93-8EF4-DBF5C05439D2}">
      <x14:pivotTableDefinition xmlns:xm="http://schemas.microsoft.com/office/excel/2006/main" hideValuesRow="1">
        <x14:conditionalFormats count="3">
          <x14:conditionalFormat scope="field" priority="6" id="{EF034906-F026-4E5D-9888-625ED4929AA3}">
            <x14:pivotAreas count="1">
              <pivotArea outline="0" collapsedLevelsAreSubtotals="1" fieldPosition="0">
                <references count="2">
                  <reference field="4294967294" count="1" selected="0">
                    <x v="0"/>
                  </reference>
                  <reference field="22" count="0" selected="0"/>
                </references>
              </pivotArea>
            </x14:pivotAreas>
          </x14:conditionalFormat>
          <x14:conditionalFormat scope="field" priority="5" id="{C1EA2CF8-1AA9-4B32-A8E0-025ABFD0D9A0}">
            <x14:pivotAreas count="1">
              <pivotArea outline="0" collapsedLevelsAreSubtotals="1" fieldPosition="0">
                <references count="2">
                  <reference field="4294967294" count="1" selected="0">
                    <x v="0"/>
                  </reference>
                  <reference field="22" count="0" selected="0"/>
                </references>
              </pivotArea>
            </x14:pivotAreas>
          </x14:conditionalFormat>
          <x14:conditionalFormat scope="field" priority="4" id="{EC0DB1AF-D2CE-4999-9A34-5FCC6BDE34EC}">
            <x14:pivotAreas count="1">
              <pivotArea outline="0" collapsedLevelsAreSubtotals="1" fieldPosition="0">
                <references count="2">
                  <reference field="4294967294" count="1" selected="0">
                    <x v="0"/>
                  </reference>
                  <reference field="22" count="0" selected="0"/>
                </references>
              </pivotArea>
            </x14:pivotAreas>
          </x14:conditionalFormat>
        </x14:conditionalFormats>
      </x14:pivotTableDefinition>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Sombra extrema">
      <a:fillStyleLst>
        <a:solidFill>
          <a:schemeClr val="phClr"/>
        </a:solidFill>
        <a:gradFill rotWithShape="1">
          <a:gsLst>
            <a:gs pos="0">
              <a:schemeClr val="phClr">
                <a:tint val="90000"/>
              </a:schemeClr>
            </a:gs>
            <a:gs pos="48000">
              <a:schemeClr val="phClr">
                <a:tint val="54000"/>
                <a:satMod val="140000"/>
              </a:schemeClr>
            </a:gs>
            <a:gs pos="100000">
              <a:schemeClr val="phClr">
                <a:tint val="24000"/>
                <a:satMod val="260000"/>
              </a:schemeClr>
            </a:gs>
          </a:gsLst>
          <a:lin ang="16200000" scaled="1"/>
        </a:gradFill>
        <a:gradFill rotWithShape="1">
          <a:gsLst>
            <a:gs pos="0">
              <a:schemeClr val="phClr"/>
            </a:gs>
            <a:gs pos="100000">
              <a:schemeClr val="phClr">
                <a:shade val="48000"/>
                <a:satMod val="180000"/>
                <a:lumMod val="94000"/>
              </a:schemeClr>
            </a:gs>
            <a:gs pos="100000">
              <a:schemeClr val="phClr">
                <a:shade val="48000"/>
                <a:satMod val="180000"/>
                <a:lumMod val="94000"/>
              </a:schemeClr>
            </a:gs>
          </a:gsLst>
          <a:lin ang="4140000" scaled="1"/>
        </a:gradFill>
      </a:fillStyleLst>
      <a:lnStyleLst>
        <a:ln w="12700" cap="flat" cmpd="sng" algn="ctr">
          <a:solidFill>
            <a:schemeClr val="phClr"/>
          </a:solidFill>
          <a:prstDash val="solid"/>
        </a:ln>
        <a:ln w="19050" cap="flat" cmpd="sng" algn="ctr">
          <a:solidFill>
            <a:schemeClr val="phClr"/>
          </a:solidFill>
          <a:prstDash val="solid"/>
        </a:ln>
        <a:ln w="28575" cap="flat" cmpd="sng" algn="ctr">
          <a:solidFill>
            <a:schemeClr val="phClr"/>
          </a:solidFill>
          <a:prstDash val="solid"/>
        </a:ln>
      </a:lnStyleLst>
      <a:effectStyleLst>
        <a:effectStyle>
          <a:effectLst>
            <a:outerShdw blurRad="63500" dist="12700" dir="5400000" sx="102000" sy="102000" rotWithShape="0">
              <a:srgbClr val="000000">
                <a:alpha val="32000"/>
              </a:srgbClr>
            </a:outerShdw>
          </a:effectLst>
        </a:effectStyle>
        <a:effectStyle>
          <a:effectLst>
            <a:outerShdw blurRad="76200" dist="38100" dir="5400000" rotWithShape="0">
              <a:srgbClr val="000000">
                <a:alpha val="60000"/>
              </a:srgbClr>
            </a:outerShdw>
          </a:effectLst>
          <a:scene3d>
            <a:camera prst="orthographicFront">
              <a:rot lat="0" lon="0" rev="0"/>
            </a:camera>
            <a:lightRig rig="threePt" dir="tl">
              <a:rot lat="0" lon="0" rev="19800000"/>
            </a:lightRig>
          </a:scene3d>
          <a:sp3d prstMaterial="plastic">
            <a:bevelT w="25400" h="19050"/>
          </a:sp3d>
        </a:effectStyle>
        <a:effectStyle>
          <a:effectLst>
            <a:outerShdw blurRad="114300" dist="114300" dir="5400000" rotWithShape="0">
              <a:srgbClr val="000000">
                <a:alpha val="70000"/>
              </a:srgbClr>
            </a:outerShdw>
          </a:effectLst>
          <a:scene3d>
            <a:camera prst="orthographicFront">
              <a:rot lat="0" lon="0" rev="0"/>
            </a:camera>
            <a:lightRig rig="threePt" dir="t">
              <a:rot lat="0" lon="0" rev="19800000"/>
            </a:lightRig>
          </a:scene3d>
          <a:sp3d prstMaterial="plastic">
            <a:bevelT w="38100" h="31750"/>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3" filterMode="1">
    <pageSetUpPr fitToPage="1"/>
  </sheetPr>
  <dimension ref="A1:AE71"/>
  <sheetViews>
    <sheetView zoomScale="85" zoomScaleNormal="85" workbookViewId="0">
      <selection activeCell="K5" sqref="K5"/>
    </sheetView>
  </sheetViews>
  <sheetFormatPr baseColWidth="10" defaultRowHeight="14.5" x14ac:dyDescent="0.35"/>
  <cols>
    <col min="1" max="1" width="5.26953125" customWidth="1"/>
    <col min="2" max="2" width="6.453125" customWidth="1"/>
    <col min="3" max="3" width="7.1796875" customWidth="1"/>
    <col min="4" max="4" width="37.453125" customWidth="1"/>
    <col min="5" max="5" width="13.81640625" customWidth="1"/>
    <col min="6" max="6" width="13.26953125" customWidth="1"/>
    <col min="7" max="7" width="11.81640625" customWidth="1"/>
    <col min="8" max="8" width="15.1796875" customWidth="1"/>
    <col min="9" max="9" width="12.7265625" customWidth="1"/>
    <col min="10" max="10" width="31.54296875" customWidth="1"/>
    <col min="11" max="11" width="12.26953125" customWidth="1"/>
    <col min="12" max="12" width="11.81640625" customWidth="1"/>
    <col min="13" max="13" width="8.81640625" customWidth="1"/>
    <col min="14" max="14" width="12.26953125" customWidth="1"/>
    <col min="15" max="15" width="17.26953125" customWidth="1"/>
    <col min="16" max="16" width="6.26953125" customWidth="1"/>
    <col min="17" max="17" width="13.54296875" customWidth="1"/>
    <col min="18" max="18" width="16.453125" customWidth="1"/>
    <col min="19" max="19" width="8.54296875" customWidth="1"/>
    <col min="20" max="20" width="14.453125" customWidth="1"/>
    <col min="21" max="21" width="16.26953125" customWidth="1"/>
    <col min="22" max="22" width="9.54296875" customWidth="1"/>
    <col min="23" max="23" width="15" customWidth="1"/>
    <col min="24" max="24" width="16.7265625" customWidth="1"/>
    <col min="25" max="25" width="13" customWidth="1"/>
    <col min="26" max="26" width="11.54296875" customWidth="1"/>
    <col min="27" max="27" width="11.7265625" customWidth="1"/>
    <col min="28" max="28" width="8.81640625" customWidth="1"/>
    <col min="29" max="29" width="12.1796875" customWidth="1"/>
    <col min="30" max="30" width="19.54296875" customWidth="1"/>
    <col min="31" max="31" width="13.1796875" style="78" bestFit="1" customWidth="1"/>
  </cols>
  <sheetData>
    <row r="1" spans="1:31" x14ac:dyDescent="0.35">
      <c r="B1" s="16"/>
    </row>
    <row r="2" spans="1:31" ht="25.5" customHeight="1" thickBot="1" x14ac:dyDescent="0.4">
      <c r="B2" s="16"/>
    </row>
    <row r="3" spans="1:31" ht="31.5" customHeight="1" thickBot="1" x14ac:dyDescent="0.55000000000000004">
      <c r="G3" s="6" t="s">
        <v>224</v>
      </c>
      <c r="T3" s="245" t="s">
        <v>77</v>
      </c>
      <c r="U3" s="246"/>
      <c r="V3" s="246"/>
      <c r="W3" s="246"/>
      <c r="X3" s="125">
        <v>669</v>
      </c>
      <c r="Y3" s="245"/>
      <c r="Z3" s="246"/>
      <c r="AA3" s="246"/>
      <c r="AB3" s="246"/>
      <c r="AC3" s="70"/>
    </row>
    <row r="4" spans="1:31" s="7" customFormat="1" ht="15" thickBot="1" x14ac:dyDescent="0.4">
      <c r="C4" s="250" t="s">
        <v>304</v>
      </c>
      <c r="D4" s="251"/>
      <c r="E4" s="19">
        <v>129101.85</v>
      </c>
      <c r="F4" s="17" t="s">
        <v>29</v>
      </c>
      <c r="G4" s="18">
        <v>4.75</v>
      </c>
      <c r="H4" s="17" t="s">
        <v>30</v>
      </c>
      <c r="I4"/>
      <c r="M4" s="252" t="s">
        <v>24</v>
      </c>
      <c r="N4" s="253"/>
      <c r="O4" s="254"/>
      <c r="P4" s="255" t="s">
        <v>45</v>
      </c>
      <c r="Q4" s="256"/>
      <c r="R4" s="257"/>
      <c r="S4" s="252" t="s">
        <v>3</v>
      </c>
      <c r="T4" s="253"/>
      <c r="U4" s="254"/>
      <c r="V4" s="255" t="s">
        <v>4</v>
      </c>
      <c r="W4" s="256"/>
      <c r="X4" s="257"/>
      <c r="Y4" s="247" t="s">
        <v>52</v>
      </c>
      <c r="Z4" s="248"/>
      <c r="AA4" s="248"/>
      <c r="AB4" s="248"/>
      <c r="AC4" s="249"/>
      <c r="AE4" s="169"/>
    </row>
    <row r="5" spans="1:31" s="20" customFormat="1" ht="70.5" customHeight="1" thickBot="1" x14ac:dyDescent="0.4">
      <c r="B5" s="25" t="s">
        <v>26</v>
      </c>
      <c r="C5" s="25" t="s">
        <v>21</v>
      </c>
      <c r="D5" s="26" t="s">
        <v>7</v>
      </c>
      <c r="E5" s="27" t="s">
        <v>23</v>
      </c>
      <c r="F5" s="28" t="s">
        <v>13</v>
      </c>
      <c r="G5" s="28" t="s">
        <v>14</v>
      </c>
      <c r="H5" s="26" t="s">
        <v>15</v>
      </c>
      <c r="I5" s="28" t="s">
        <v>27</v>
      </c>
      <c r="J5" s="28" t="s">
        <v>12</v>
      </c>
      <c r="K5" s="29" t="s">
        <v>11</v>
      </c>
      <c r="L5" s="30" t="s">
        <v>28</v>
      </c>
      <c r="M5" s="31" t="s">
        <v>305</v>
      </c>
      <c r="N5" s="28" t="s">
        <v>1</v>
      </c>
      <c r="O5" s="32" t="s">
        <v>2</v>
      </c>
      <c r="P5" s="33" t="s">
        <v>25</v>
      </c>
      <c r="Q5" s="34" t="s">
        <v>1</v>
      </c>
      <c r="R5" s="35" t="s">
        <v>2</v>
      </c>
      <c r="S5" s="72" t="s">
        <v>306</v>
      </c>
      <c r="T5" s="28" t="s">
        <v>1</v>
      </c>
      <c r="U5" s="36" t="s">
        <v>2</v>
      </c>
      <c r="V5" s="33" t="s">
        <v>307</v>
      </c>
      <c r="W5" s="34" t="s">
        <v>1</v>
      </c>
      <c r="X5" s="35" t="s">
        <v>2</v>
      </c>
      <c r="Y5" s="50" t="s">
        <v>78</v>
      </c>
      <c r="Z5" s="51" t="s">
        <v>75</v>
      </c>
      <c r="AA5" s="52" t="s">
        <v>73</v>
      </c>
      <c r="AB5" s="58" t="s">
        <v>74</v>
      </c>
      <c r="AC5" s="53" t="s">
        <v>76</v>
      </c>
      <c r="AD5" s="167" t="s">
        <v>79</v>
      </c>
      <c r="AE5" s="167" t="s">
        <v>298</v>
      </c>
    </row>
    <row r="6" spans="1:31" x14ac:dyDescent="0.35">
      <c r="A6" s="38">
        <v>1</v>
      </c>
      <c r="B6" s="40">
        <v>25301</v>
      </c>
      <c r="C6" s="40">
        <v>9301</v>
      </c>
      <c r="D6" s="40" t="s">
        <v>147</v>
      </c>
      <c r="E6" s="74"/>
      <c r="F6" s="40" t="s">
        <v>36</v>
      </c>
      <c r="G6" s="40">
        <v>71090714979</v>
      </c>
      <c r="H6" s="40" t="s">
        <v>148</v>
      </c>
      <c r="I6" s="41">
        <v>43313</v>
      </c>
      <c r="J6" s="40" t="s">
        <v>80</v>
      </c>
      <c r="K6" s="39">
        <v>1200</v>
      </c>
      <c r="L6" s="48">
        <v>44336</v>
      </c>
      <c r="M6" s="59">
        <v>920</v>
      </c>
      <c r="N6" s="43">
        <f t="shared" ref="N6" si="0">M6*$G$4</f>
        <v>4370</v>
      </c>
      <c r="O6" s="44">
        <f t="shared" ref="O6" si="1">M6*$E$4</f>
        <v>118773702</v>
      </c>
      <c r="P6" s="42">
        <f t="shared" ref="P6" si="2">IF(OR(EXACT(E6,"x"), EXACT(E6,"X")),IF(M6-50 &lt; 0, 0, M6-50),M6)</f>
        <v>920</v>
      </c>
      <c r="Q6" s="60">
        <f t="shared" ref="Q6" si="3">P6*$G$4</f>
        <v>4370</v>
      </c>
      <c r="R6" s="44">
        <f t="shared" ref="R6" si="4">P6*$E$4</f>
        <v>118773702</v>
      </c>
      <c r="S6" s="59">
        <v>50</v>
      </c>
      <c r="T6" s="56">
        <f t="shared" ref="T6" si="5">ROUND(S6,2)*$G$4</f>
        <v>237.5</v>
      </c>
      <c r="U6" s="55">
        <f>S6*$G$4*$X$3</f>
        <v>158887.5</v>
      </c>
      <c r="V6" s="67">
        <f>IF((P6-Z6-S6)&lt; 0, 0,(P6-ROUND(Z6,2)-S6))</f>
        <v>393.75</v>
      </c>
      <c r="W6" s="71">
        <f>V6*$G$4</f>
        <v>1870.3125</v>
      </c>
      <c r="X6" s="66">
        <f>V6*$G$4*$X$3</f>
        <v>1251239.0625</v>
      </c>
      <c r="Y6" s="47">
        <f>AE6/$X$3</f>
        <v>2262.1913303437968</v>
      </c>
      <c r="Z6" s="65">
        <f>Y6/$G$4</f>
        <v>476.25080638816775</v>
      </c>
      <c r="AA6" s="62">
        <f t="shared" ref="AA6:AA57" si="6">AB6*$G$4</f>
        <v>2262.1913303437968</v>
      </c>
      <c r="AB6" s="64">
        <f t="shared" ref="AB6:AB57" si="7">IF(  EXACT(Z6-P6,Z6), 0,IF(Z6-P6&lt;0,Z6,Z6-(Z6-P6)))</f>
        <v>476.25080638816775</v>
      </c>
      <c r="AC6" s="63">
        <f t="shared" ref="AC6:AC66" si="8">IF(OR(Y6-Q6&lt;0,EXACT(ABS(Q6-Y6),Q6)),0,ABS(Q6-Y6) )</f>
        <v>0</v>
      </c>
      <c r="AD6" s="168">
        <f>IFERROR(VLOOKUP(B6,IMPORTE_RESERVA!$A$2:$L$100,11,FALSE),0)</f>
        <v>2387</v>
      </c>
      <c r="AE6" s="170">
        <f>IFERROR(VLOOKUP(B6,IMPORTE_RESERVA!$A$2:$L$100,12,FALSE),0)</f>
        <v>1513406</v>
      </c>
    </row>
    <row r="7" spans="1:31" x14ac:dyDescent="0.35">
      <c r="A7" s="38">
        <v>2</v>
      </c>
      <c r="B7" s="40">
        <v>25279</v>
      </c>
      <c r="C7" s="40">
        <v>9301</v>
      </c>
      <c r="D7" s="40" t="s">
        <v>149</v>
      </c>
      <c r="E7" s="74"/>
      <c r="F7" s="40" t="s">
        <v>36</v>
      </c>
      <c r="G7" s="40">
        <v>62112113769</v>
      </c>
      <c r="H7" s="40" t="s">
        <v>42</v>
      </c>
      <c r="I7" s="41">
        <v>43160</v>
      </c>
      <c r="J7" s="40" t="s">
        <v>80</v>
      </c>
      <c r="K7" s="39">
        <v>950</v>
      </c>
      <c r="L7" s="48">
        <v>44336</v>
      </c>
      <c r="M7" s="59">
        <v>772</v>
      </c>
      <c r="N7" s="24">
        <f>M7*$G$4</f>
        <v>3667</v>
      </c>
      <c r="O7" s="46">
        <f>M7*$E$4</f>
        <v>99666628.200000003</v>
      </c>
      <c r="P7" s="45">
        <f>IF(OR(EXACT(E7,"x"), EXACT(E7,"X")),IF(M7-50 &lt; 0, 0, M7-50),M7)</f>
        <v>772</v>
      </c>
      <c r="Q7" s="61">
        <f>P7*$G$4</f>
        <v>3667</v>
      </c>
      <c r="R7" s="46">
        <f>P7*$E$4</f>
        <v>99666628.200000003</v>
      </c>
      <c r="S7" s="59">
        <v>722</v>
      </c>
      <c r="T7" s="73">
        <f>S7*$G$4</f>
        <v>3429.5</v>
      </c>
      <c r="U7" s="57">
        <f>S7*$G$4*$X$3</f>
        <v>2294335.5</v>
      </c>
      <c r="V7" s="67">
        <f>IF((P7-Z7-S7)&lt; 0, 0,(P7-ROUND(Z7,2)-S7))</f>
        <v>50</v>
      </c>
      <c r="W7" s="71">
        <f>V7*$G$4</f>
        <v>237.5</v>
      </c>
      <c r="X7" s="66">
        <f>V7*$G$4*$X$3</f>
        <v>158887.5</v>
      </c>
      <c r="Y7" s="47">
        <f t="shared" ref="Y7:Y70" si="9">AE7/$X$3</f>
        <v>0</v>
      </c>
      <c r="Z7" s="65">
        <f t="shared" ref="Z7:Z57" si="10">Y7/$G$4</f>
        <v>0</v>
      </c>
      <c r="AA7" s="62">
        <f t="shared" si="6"/>
        <v>0</v>
      </c>
      <c r="AB7" s="64">
        <f t="shared" si="7"/>
        <v>0</v>
      </c>
      <c r="AC7" s="63">
        <f t="shared" si="8"/>
        <v>0</v>
      </c>
      <c r="AD7" s="168">
        <f>IFERROR(VLOOKUP(B7,IMPORTE_RESERVA!$A$2:$L$100,11,FALSE),0)</f>
        <v>0</v>
      </c>
      <c r="AE7" s="170">
        <f>IFERROR(VLOOKUP(B7,IMPORTE_RESERVA!$A$2:$L$100,12,FALSE),0)</f>
        <v>0</v>
      </c>
    </row>
    <row r="8" spans="1:31" x14ac:dyDescent="0.35">
      <c r="A8" s="38">
        <v>3</v>
      </c>
      <c r="B8" s="40">
        <v>23763</v>
      </c>
      <c r="C8" s="40">
        <v>9301</v>
      </c>
      <c r="D8" s="40" t="s">
        <v>150</v>
      </c>
      <c r="E8" s="74"/>
      <c r="F8" s="40" t="s">
        <v>36</v>
      </c>
      <c r="G8" s="40">
        <v>71012900407</v>
      </c>
      <c r="H8" s="40" t="s">
        <v>41</v>
      </c>
      <c r="I8" s="41">
        <v>42720</v>
      </c>
      <c r="J8" s="40" t="s">
        <v>80</v>
      </c>
      <c r="K8" s="39">
        <v>1200</v>
      </c>
      <c r="L8" s="48">
        <v>44334</v>
      </c>
      <c r="M8" s="59">
        <v>391</v>
      </c>
      <c r="N8" s="24">
        <f t="shared" ref="N8" si="11">M8*$G$4</f>
        <v>1857.25</v>
      </c>
      <c r="O8" s="46">
        <f t="shared" ref="O8:O57" si="12">M8*$E$4</f>
        <v>50478823.350000001</v>
      </c>
      <c r="P8" s="45">
        <f t="shared" ref="P8:P57" si="13">IF(OR(EXACT(E8,"x"), EXACT(E8,"X")),IF(M8-50 &lt; 0, 0, M8-50),M8)</f>
        <v>391</v>
      </c>
      <c r="Q8" s="61">
        <f t="shared" ref="Q8:Q57" si="14">P8*$G$4</f>
        <v>1857.25</v>
      </c>
      <c r="R8" s="46">
        <f t="shared" ref="R8:R57" si="15">P8*$E$4</f>
        <v>50478823.350000001</v>
      </c>
      <c r="S8" s="59">
        <v>0</v>
      </c>
      <c r="T8" s="73">
        <f t="shared" ref="T8:T57" si="16">S8*$G$4</f>
        <v>0</v>
      </c>
      <c r="U8" s="57">
        <f t="shared" ref="U8:U57" si="17">S8*$G$4*$X$3</f>
        <v>0</v>
      </c>
      <c r="V8" s="67">
        <f t="shared" ref="V8:V57" si="18">IF((P8-Z8-S8)&lt; 0, 0,(P8-ROUND(Z8,2)-S8))</f>
        <v>0</v>
      </c>
      <c r="W8" s="71">
        <f t="shared" ref="W8:W57" si="19">V8*$G$4</f>
        <v>0</v>
      </c>
      <c r="X8" s="66">
        <f>V8*$G$4*$X$3</f>
        <v>0</v>
      </c>
      <c r="Y8" s="47">
        <f t="shared" si="9"/>
        <v>2276.2720478325859</v>
      </c>
      <c r="Z8" s="65">
        <f t="shared" si="10"/>
        <v>479.21516796475493</v>
      </c>
      <c r="AA8" s="62">
        <f t="shared" si="6"/>
        <v>1857.25</v>
      </c>
      <c r="AB8" s="64">
        <f t="shared" si="7"/>
        <v>391</v>
      </c>
      <c r="AC8" s="63">
        <f t="shared" si="8"/>
        <v>419.02204783258594</v>
      </c>
      <c r="AD8" s="168">
        <f>IFERROR(VLOOKUP(B8,IMPORTE_RESERVA!$A$2:$L$100,11,FALSE),0)</f>
        <v>2402</v>
      </c>
      <c r="AE8" s="170">
        <f>IFERROR(VLOOKUP(B8,IMPORTE_RESERVA!$A$2:$L$100,12,FALSE),0)</f>
        <v>1522826</v>
      </c>
    </row>
    <row r="9" spans="1:31" hidden="1" x14ac:dyDescent="0.35">
      <c r="A9" s="38">
        <v>4</v>
      </c>
      <c r="B9" s="40">
        <v>26821</v>
      </c>
      <c r="C9" s="40">
        <v>9301</v>
      </c>
      <c r="D9" s="138" t="s">
        <v>151</v>
      </c>
      <c r="E9" s="74"/>
      <c r="F9" s="40" t="s">
        <v>64</v>
      </c>
      <c r="G9" s="40">
        <v>62072705575</v>
      </c>
      <c r="H9" s="40" t="s">
        <v>82</v>
      </c>
      <c r="I9" s="41">
        <v>25569</v>
      </c>
      <c r="J9" s="40" t="s">
        <v>80</v>
      </c>
      <c r="K9" s="39">
        <v>1200</v>
      </c>
      <c r="L9" s="48"/>
      <c r="M9" s="59">
        <v>0</v>
      </c>
      <c r="N9" s="24">
        <f>M9*$G$4</f>
        <v>0</v>
      </c>
      <c r="O9" s="46">
        <f t="shared" si="12"/>
        <v>0</v>
      </c>
      <c r="P9" s="45">
        <f t="shared" si="13"/>
        <v>0</v>
      </c>
      <c r="Q9" s="61">
        <f t="shared" si="14"/>
        <v>0</v>
      </c>
      <c r="R9" s="46">
        <f t="shared" si="15"/>
        <v>0</v>
      </c>
      <c r="S9" s="59">
        <v>0</v>
      </c>
      <c r="T9" s="73">
        <f t="shared" si="16"/>
        <v>0</v>
      </c>
      <c r="U9" s="57">
        <f t="shared" si="17"/>
        <v>0</v>
      </c>
      <c r="V9" s="67">
        <f t="shared" si="18"/>
        <v>0</v>
      </c>
      <c r="W9" s="71">
        <f t="shared" si="19"/>
        <v>0</v>
      </c>
      <c r="X9" s="66">
        <f t="shared" ref="X9:X57" si="20">V9*$G$4*$X$3</f>
        <v>0</v>
      </c>
      <c r="Y9" s="47">
        <f t="shared" si="9"/>
        <v>0</v>
      </c>
      <c r="Z9" s="65">
        <f t="shared" si="10"/>
        <v>0</v>
      </c>
      <c r="AA9" s="62">
        <f t="shared" si="6"/>
        <v>0</v>
      </c>
      <c r="AB9" s="64">
        <f t="shared" si="7"/>
        <v>0</v>
      </c>
      <c r="AC9" s="63">
        <f t="shared" si="8"/>
        <v>0</v>
      </c>
      <c r="AD9" s="168">
        <f>IFERROR(VLOOKUP(B9,IMPORTE_RESERVA!$A$2:$L$100,11,FALSE),0)</f>
        <v>0</v>
      </c>
      <c r="AE9" s="170">
        <f>IFERROR(VLOOKUP(B9,IMPORTE_RESERVA!$A$2:$L$100,12,FALSE),0)</f>
        <v>0</v>
      </c>
    </row>
    <row r="10" spans="1:31" s="77" customFormat="1" x14ac:dyDescent="0.35">
      <c r="A10" s="75">
        <v>5</v>
      </c>
      <c r="B10" s="40">
        <v>24397</v>
      </c>
      <c r="C10" s="40">
        <v>9301</v>
      </c>
      <c r="D10" s="40" t="s">
        <v>152</v>
      </c>
      <c r="E10" s="74"/>
      <c r="F10" s="40" t="s">
        <v>36</v>
      </c>
      <c r="G10" s="40">
        <v>59032308312</v>
      </c>
      <c r="H10" s="40" t="s">
        <v>39</v>
      </c>
      <c r="I10" s="41">
        <v>42887</v>
      </c>
      <c r="J10" s="40" t="s">
        <v>80</v>
      </c>
      <c r="K10" s="39">
        <v>1200</v>
      </c>
      <c r="L10" s="48">
        <v>44336</v>
      </c>
      <c r="M10" s="59">
        <v>564</v>
      </c>
      <c r="N10" s="24">
        <f t="shared" ref="N10:N57" si="21">M10*$G$4</f>
        <v>2679</v>
      </c>
      <c r="O10" s="46">
        <f t="shared" si="12"/>
        <v>72813443.400000006</v>
      </c>
      <c r="P10" s="45">
        <f t="shared" si="13"/>
        <v>564</v>
      </c>
      <c r="Q10" s="61">
        <f t="shared" si="14"/>
        <v>2679</v>
      </c>
      <c r="R10" s="46">
        <f t="shared" si="15"/>
        <v>72813443.400000006</v>
      </c>
      <c r="S10" s="59">
        <v>0</v>
      </c>
      <c r="T10" s="73">
        <f t="shared" si="16"/>
        <v>0</v>
      </c>
      <c r="U10" s="57">
        <f t="shared" si="17"/>
        <v>0</v>
      </c>
      <c r="V10" s="67">
        <f t="shared" si="18"/>
        <v>83.800000000000011</v>
      </c>
      <c r="W10" s="71">
        <f t="shared" si="19"/>
        <v>398.05000000000007</v>
      </c>
      <c r="X10" s="66">
        <f t="shared" si="20"/>
        <v>266295.45000000007</v>
      </c>
      <c r="Y10" s="47">
        <f t="shared" si="9"/>
        <v>2280.9656203288491</v>
      </c>
      <c r="Z10" s="65">
        <f t="shared" si="10"/>
        <v>480.20328849028402</v>
      </c>
      <c r="AA10" s="62">
        <f t="shared" si="6"/>
        <v>2280.9656203288491</v>
      </c>
      <c r="AB10" s="64">
        <f t="shared" si="7"/>
        <v>480.20328849028402</v>
      </c>
      <c r="AC10" s="63">
        <f t="shared" si="8"/>
        <v>0</v>
      </c>
      <c r="AD10" s="168">
        <f>IFERROR(VLOOKUP(B10,IMPORTE_RESERVA!$A$2:$L$100,11,FALSE),0)</f>
        <v>2407</v>
      </c>
      <c r="AE10" s="170">
        <f>IFERROR(VLOOKUP(B10,IMPORTE_RESERVA!$A$2:$L$100,12,FALSE),0)</f>
        <v>1525966</v>
      </c>
    </row>
    <row r="11" spans="1:31" x14ac:dyDescent="0.35">
      <c r="A11" s="38">
        <v>6</v>
      </c>
      <c r="B11" s="40">
        <v>15247</v>
      </c>
      <c r="C11" s="40">
        <v>9301</v>
      </c>
      <c r="D11" s="40" t="s">
        <v>153</v>
      </c>
      <c r="E11" s="74"/>
      <c r="F11" s="40" t="s">
        <v>36</v>
      </c>
      <c r="G11" s="40">
        <v>76062109014</v>
      </c>
      <c r="H11" s="40" t="s">
        <v>37</v>
      </c>
      <c r="I11" s="41">
        <v>43132</v>
      </c>
      <c r="J11" s="40" t="s">
        <v>80</v>
      </c>
      <c r="K11" s="39">
        <v>500</v>
      </c>
      <c r="L11" s="48">
        <v>44334</v>
      </c>
      <c r="M11" s="59">
        <v>529</v>
      </c>
      <c r="N11" s="24">
        <f t="shared" si="21"/>
        <v>2512.75</v>
      </c>
      <c r="O11" s="46">
        <f t="shared" si="12"/>
        <v>68294878.650000006</v>
      </c>
      <c r="P11" s="45">
        <f t="shared" si="13"/>
        <v>529</v>
      </c>
      <c r="Q11" s="61">
        <f t="shared" si="14"/>
        <v>2512.75</v>
      </c>
      <c r="R11" s="46">
        <f t="shared" si="15"/>
        <v>68294878.650000006</v>
      </c>
      <c r="S11" s="59">
        <v>0</v>
      </c>
      <c r="T11" s="73">
        <f t="shared" si="16"/>
        <v>0</v>
      </c>
      <c r="U11" s="57">
        <f t="shared" si="17"/>
        <v>0</v>
      </c>
      <c r="V11" s="67">
        <f t="shared" si="18"/>
        <v>391.44</v>
      </c>
      <c r="W11" s="71">
        <f t="shared" si="19"/>
        <v>1859.34</v>
      </c>
      <c r="X11" s="66">
        <f t="shared" si="20"/>
        <v>1243898.46</v>
      </c>
      <c r="Y11" s="47">
        <f t="shared" si="9"/>
        <v>653.39142002989536</v>
      </c>
      <c r="Z11" s="65">
        <f t="shared" si="10"/>
        <v>137.5560884273464</v>
      </c>
      <c r="AA11" s="62">
        <f t="shared" si="6"/>
        <v>653.39142002989536</v>
      </c>
      <c r="AB11" s="64">
        <f t="shared" si="7"/>
        <v>137.5560884273464</v>
      </c>
      <c r="AC11" s="63">
        <f t="shared" si="8"/>
        <v>0</v>
      </c>
      <c r="AD11" s="168">
        <f>IFERROR(VLOOKUP(B11,IMPORTE_RESERVA!$A$2:$L$100,11,FALSE),0)</f>
        <v>691.67</v>
      </c>
      <c r="AE11" s="170">
        <f>IFERROR(VLOOKUP(B11,IMPORTE_RESERVA!$A$2:$L$100,12,FALSE),0)</f>
        <v>437118.86</v>
      </c>
    </row>
    <row r="12" spans="1:31" x14ac:dyDescent="0.35">
      <c r="A12" s="38">
        <v>7</v>
      </c>
      <c r="B12" s="40">
        <v>23161</v>
      </c>
      <c r="C12" s="40">
        <v>9301</v>
      </c>
      <c r="D12" s="40" t="s">
        <v>154</v>
      </c>
      <c r="E12" s="74"/>
      <c r="F12" s="40" t="s">
        <v>36</v>
      </c>
      <c r="G12" s="40">
        <v>65073104096</v>
      </c>
      <c r="H12" s="40" t="s">
        <v>39</v>
      </c>
      <c r="I12" s="41">
        <v>42583</v>
      </c>
      <c r="J12" s="40" t="s">
        <v>80</v>
      </c>
      <c r="K12" s="39">
        <v>1200</v>
      </c>
      <c r="L12" s="48">
        <v>44336</v>
      </c>
      <c r="M12" s="59">
        <v>1057</v>
      </c>
      <c r="N12" s="24">
        <f t="shared" si="21"/>
        <v>5020.75</v>
      </c>
      <c r="O12" s="46">
        <f t="shared" si="12"/>
        <v>136460655.45000002</v>
      </c>
      <c r="P12" s="45">
        <f t="shared" si="13"/>
        <v>1057</v>
      </c>
      <c r="Q12" s="61">
        <f t="shared" si="14"/>
        <v>5020.75</v>
      </c>
      <c r="R12" s="46">
        <f t="shared" si="15"/>
        <v>136460655.45000002</v>
      </c>
      <c r="S12" s="59">
        <v>489.34000000000003</v>
      </c>
      <c r="T12" s="73">
        <f t="shared" si="16"/>
        <v>2324.3650000000002</v>
      </c>
      <c r="U12" s="57">
        <f t="shared" si="17"/>
        <v>1555000.1850000001</v>
      </c>
      <c r="V12" s="67">
        <f t="shared" si="18"/>
        <v>68.88</v>
      </c>
      <c r="W12" s="71">
        <f t="shared" si="19"/>
        <v>327.17999999999995</v>
      </c>
      <c r="X12" s="66">
        <f t="shared" si="20"/>
        <v>218883.41999999995</v>
      </c>
      <c r="Y12" s="47">
        <f t="shared" si="9"/>
        <v>2369.2077727952169</v>
      </c>
      <c r="Z12" s="65">
        <f t="shared" si="10"/>
        <v>498.78058374636146</v>
      </c>
      <c r="AA12" s="62">
        <f t="shared" si="6"/>
        <v>2369.2077727952169</v>
      </c>
      <c r="AB12" s="64">
        <f t="shared" si="7"/>
        <v>498.78058374636146</v>
      </c>
      <c r="AC12" s="63">
        <f t="shared" si="8"/>
        <v>0</v>
      </c>
      <c r="AD12" s="168">
        <f>IFERROR(VLOOKUP(B12,IMPORTE_RESERVA!$A$2:$L$100,11,FALSE),0)</f>
        <v>2500</v>
      </c>
      <c r="AE12" s="170">
        <f>IFERROR(VLOOKUP(B12,IMPORTE_RESERVA!$A$2:$L$100,12,FALSE),0)</f>
        <v>1585000</v>
      </c>
    </row>
    <row r="13" spans="1:31" x14ac:dyDescent="0.35">
      <c r="A13" s="38">
        <v>8</v>
      </c>
      <c r="B13" s="40">
        <v>23654</v>
      </c>
      <c r="C13" s="40">
        <v>9301</v>
      </c>
      <c r="D13" s="40" t="s">
        <v>155</v>
      </c>
      <c r="E13" s="74"/>
      <c r="F13" s="40" t="s">
        <v>36</v>
      </c>
      <c r="G13" s="40">
        <v>77041701931</v>
      </c>
      <c r="H13" s="40" t="s">
        <v>84</v>
      </c>
      <c r="I13" s="41">
        <v>42720</v>
      </c>
      <c r="J13" s="40" t="s">
        <v>80</v>
      </c>
      <c r="K13" s="39">
        <v>950</v>
      </c>
      <c r="L13" s="48">
        <v>44334</v>
      </c>
      <c r="M13" s="59">
        <v>447</v>
      </c>
      <c r="N13" s="24">
        <f t="shared" si="21"/>
        <v>2123.25</v>
      </c>
      <c r="O13" s="46">
        <f t="shared" si="12"/>
        <v>57708526.950000003</v>
      </c>
      <c r="P13" s="45">
        <f t="shared" si="13"/>
        <v>447</v>
      </c>
      <c r="Q13" s="61">
        <f t="shared" si="14"/>
        <v>2123.25</v>
      </c>
      <c r="R13" s="46">
        <f t="shared" si="15"/>
        <v>57708526.950000003</v>
      </c>
      <c r="S13" s="59">
        <v>42</v>
      </c>
      <c r="T13" s="73">
        <f t="shared" si="16"/>
        <v>199.5</v>
      </c>
      <c r="U13" s="57">
        <f t="shared" si="17"/>
        <v>133465.5</v>
      </c>
      <c r="V13" s="67">
        <f t="shared" si="18"/>
        <v>71.160000000000025</v>
      </c>
      <c r="W13" s="71">
        <f t="shared" si="19"/>
        <v>338.0100000000001</v>
      </c>
      <c r="X13" s="66">
        <f t="shared" si="20"/>
        <v>226128.69000000006</v>
      </c>
      <c r="Y13" s="47">
        <f t="shared" si="9"/>
        <v>1585.7486696562034</v>
      </c>
      <c r="Z13" s="65">
        <f t="shared" si="10"/>
        <v>333.84182519077967</v>
      </c>
      <c r="AA13" s="62">
        <f t="shared" si="6"/>
        <v>1585.7486696562034</v>
      </c>
      <c r="AB13" s="64">
        <f t="shared" si="7"/>
        <v>333.84182519077967</v>
      </c>
      <c r="AC13" s="63">
        <f t="shared" si="8"/>
        <v>0</v>
      </c>
      <c r="AD13" s="168">
        <f>IFERROR(VLOOKUP(B13,IMPORTE_RESERVA!$A$2:$L$100,11,FALSE),0)</f>
        <v>1673.17</v>
      </c>
      <c r="AE13" s="170">
        <f>IFERROR(VLOOKUP(B13,IMPORTE_RESERVA!$A$2:$L$100,12,FALSE),0)</f>
        <v>1060865.8600000001</v>
      </c>
    </row>
    <row r="14" spans="1:31" x14ac:dyDescent="0.35">
      <c r="A14" s="38">
        <v>9</v>
      </c>
      <c r="B14" s="40">
        <v>25375</v>
      </c>
      <c r="C14" s="40">
        <v>9301</v>
      </c>
      <c r="D14" s="40" t="s">
        <v>156</v>
      </c>
      <c r="E14" s="74"/>
      <c r="F14" s="40" t="s">
        <v>36</v>
      </c>
      <c r="G14" s="40">
        <v>83111126120</v>
      </c>
      <c r="H14" s="40" t="s">
        <v>157</v>
      </c>
      <c r="I14" s="41">
        <v>43522</v>
      </c>
      <c r="J14" s="40" t="s">
        <v>80</v>
      </c>
      <c r="K14" s="39">
        <v>1200</v>
      </c>
      <c r="L14" s="48">
        <v>44334</v>
      </c>
      <c r="M14" s="59">
        <v>371</v>
      </c>
      <c r="N14" s="24">
        <f t="shared" si="21"/>
        <v>1762.25</v>
      </c>
      <c r="O14" s="46">
        <f t="shared" si="12"/>
        <v>47896786.350000001</v>
      </c>
      <c r="P14" s="45">
        <f t="shared" si="13"/>
        <v>371</v>
      </c>
      <c r="Q14" s="61">
        <f t="shared" si="14"/>
        <v>1762.25</v>
      </c>
      <c r="R14" s="46">
        <f t="shared" si="15"/>
        <v>47896786.350000001</v>
      </c>
      <c r="S14" s="59">
        <v>0</v>
      </c>
      <c r="T14" s="73">
        <f t="shared" si="16"/>
        <v>0</v>
      </c>
      <c r="U14" s="57">
        <f t="shared" si="17"/>
        <v>0</v>
      </c>
      <c r="V14" s="67">
        <f t="shared" si="18"/>
        <v>0</v>
      </c>
      <c r="W14" s="71">
        <f t="shared" si="19"/>
        <v>0</v>
      </c>
      <c r="X14" s="66">
        <f t="shared" si="20"/>
        <v>0</v>
      </c>
      <c r="Y14" s="47">
        <f t="shared" si="9"/>
        <v>2265.0104633781766</v>
      </c>
      <c r="Z14" s="65">
        <f t="shared" si="10"/>
        <v>476.84430807961616</v>
      </c>
      <c r="AA14" s="62">
        <f t="shared" si="6"/>
        <v>1762.25</v>
      </c>
      <c r="AB14" s="64">
        <f t="shared" si="7"/>
        <v>371</v>
      </c>
      <c r="AC14" s="63">
        <f t="shared" si="8"/>
        <v>502.76046337817661</v>
      </c>
      <c r="AD14" s="168">
        <f>IFERROR(VLOOKUP(B14,IMPORTE_RESERVA!$A$2:$L$100,11,FALSE),0)</f>
        <v>2389</v>
      </c>
      <c r="AE14" s="170">
        <f>IFERROR(VLOOKUP(B14,IMPORTE_RESERVA!$A$2:$L$100,12,FALSE),0)</f>
        <v>1515292</v>
      </c>
    </row>
    <row r="15" spans="1:31" s="77" customFormat="1" x14ac:dyDescent="0.35">
      <c r="A15" s="75">
        <v>10</v>
      </c>
      <c r="B15" s="40">
        <v>25325</v>
      </c>
      <c r="C15" s="40">
        <v>9301</v>
      </c>
      <c r="D15" s="40" t="s">
        <v>158</v>
      </c>
      <c r="E15" s="74"/>
      <c r="F15" s="40" t="s">
        <v>36</v>
      </c>
      <c r="G15" s="40">
        <v>77122815968</v>
      </c>
      <c r="H15" s="40" t="s">
        <v>68</v>
      </c>
      <c r="I15" s="41">
        <v>43252</v>
      </c>
      <c r="J15" s="40" t="s">
        <v>38</v>
      </c>
      <c r="K15" s="39">
        <v>1200</v>
      </c>
      <c r="L15" s="48">
        <v>44334</v>
      </c>
      <c r="M15" s="59">
        <v>850</v>
      </c>
      <c r="N15" s="24">
        <f t="shared" si="21"/>
        <v>4037.5</v>
      </c>
      <c r="O15" s="46">
        <f t="shared" si="12"/>
        <v>109736572.5</v>
      </c>
      <c r="P15" s="45">
        <f t="shared" si="13"/>
        <v>850</v>
      </c>
      <c r="Q15" s="61">
        <f t="shared" si="14"/>
        <v>4037.5</v>
      </c>
      <c r="R15" s="46">
        <f t="shared" si="15"/>
        <v>109736572.5</v>
      </c>
      <c r="S15" s="59">
        <v>0</v>
      </c>
      <c r="T15" s="73">
        <f t="shared" si="16"/>
        <v>0</v>
      </c>
      <c r="U15" s="57">
        <f t="shared" si="17"/>
        <v>0</v>
      </c>
      <c r="V15" s="67">
        <f t="shared" si="18"/>
        <v>390.74</v>
      </c>
      <c r="W15" s="71">
        <f t="shared" si="19"/>
        <v>1856.0150000000001</v>
      </c>
      <c r="X15" s="66">
        <f t="shared" si="20"/>
        <v>1241674.0350000001</v>
      </c>
      <c r="Y15" s="47">
        <f t="shared" si="9"/>
        <v>2181.4618834080716</v>
      </c>
      <c r="Z15" s="65">
        <f t="shared" si="10"/>
        <v>459.25513334906771</v>
      </c>
      <c r="AA15" s="62">
        <f t="shared" si="6"/>
        <v>2181.4618834080716</v>
      </c>
      <c r="AB15" s="64">
        <f t="shared" si="7"/>
        <v>459.25513334906771</v>
      </c>
      <c r="AC15" s="63">
        <f t="shared" si="8"/>
        <v>0</v>
      </c>
      <c r="AD15" s="168">
        <f>IFERROR(VLOOKUP(B15,IMPORTE_RESERVA!$A$2:$L$100,11,FALSE),0)</f>
        <v>2301</v>
      </c>
      <c r="AE15" s="170">
        <f>IFERROR(VLOOKUP(B15,IMPORTE_RESERVA!$A$2:$L$100,12,FALSE),0)</f>
        <v>1459398</v>
      </c>
    </row>
    <row r="16" spans="1:31" x14ac:dyDescent="0.35">
      <c r="A16" s="38">
        <v>11</v>
      </c>
      <c r="B16" s="40">
        <v>25167</v>
      </c>
      <c r="C16" s="40">
        <v>9421</v>
      </c>
      <c r="D16" s="40" t="s">
        <v>159</v>
      </c>
      <c r="E16" s="74"/>
      <c r="F16" s="40" t="s">
        <v>36</v>
      </c>
      <c r="G16" s="40">
        <v>63121716963</v>
      </c>
      <c r="H16" s="40" t="s">
        <v>81</v>
      </c>
      <c r="I16" s="41">
        <v>43258</v>
      </c>
      <c r="J16" s="40" t="s">
        <v>48</v>
      </c>
      <c r="K16" s="39">
        <v>612</v>
      </c>
      <c r="L16" s="48">
        <v>44334</v>
      </c>
      <c r="M16" s="59">
        <v>340</v>
      </c>
      <c r="N16" s="24">
        <f t="shared" si="21"/>
        <v>1615</v>
      </c>
      <c r="O16" s="46">
        <f t="shared" si="12"/>
        <v>43894629</v>
      </c>
      <c r="P16" s="45">
        <f t="shared" si="13"/>
        <v>340</v>
      </c>
      <c r="Q16" s="61">
        <f t="shared" si="14"/>
        <v>1615</v>
      </c>
      <c r="R16" s="46">
        <f t="shared" si="15"/>
        <v>43894629</v>
      </c>
      <c r="S16" s="59">
        <v>190</v>
      </c>
      <c r="T16" s="73">
        <f t="shared" si="16"/>
        <v>902.5</v>
      </c>
      <c r="U16" s="57">
        <f t="shared" si="17"/>
        <v>603772.5</v>
      </c>
      <c r="V16" s="67">
        <f t="shared" si="18"/>
        <v>112.42000000000002</v>
      </c>
      <c r="W16" s="71">
        <f t="shared" si="19"/>
        <v>533.99500000000012</v>
      </c>
      <c r="X16" s="66">
        <f t="shared" si="20"/>
        <v>357242.65500000009</v>
      </c>
      <c r="Y16" s="47">
        <f t="shared" si="9"/>
        <v>178.51569506726457</v>
      </c>
      <c r="Z16" s="65">
        <f t="shared" si="10"/>
        <v>37.582251593108332</v>
      </c>
      <c r="AA16" s="62">
        <f t="shared" si="6"/>
        <v>178.51569506726457</v>
      </c>
      <c r="AB16" s="64">
        <f t="shared" si="7"/>
        <v>37.582251593108332</v>
      </c>
      <c r="AC16" s="63">
        <f t="shared" si="8"/>
        <v>0</v>
      </c>
      <c r="AD16" s="168">
        <f>IFERROR(VLOOKUP(B16,IMPORTE_RESERVA!$A$2:$L$100,11,FALSE),0)</f>
        <v>181.5</v>
      </c>
      <c r="AE16" s="170">
        <f>IFERROR(VLOOKUP(B16,IMPORTE_RESERVA!$A$2:$L$100,12,FALSE),0)</f>
        <v>119427</v>
      </c>
    </row>
    <row r="17" spans="1:31" x14ac:dyDescent="0.35">
      <c r="A17" s="38">
        <v>12</v>
      </c>
      <c r="B17" s="40">
        <v>26191</v>
      </c>
      <c r="C17" s="40">
        <v>9301</v>
      </c>
      <c r="D17" s="40" t="s">
        <v>160</v>
      </c>
      <c r="E17" s="74"/>
      <c r="F17" s="40" t="s">
        <v>36</v>
      </c>
      <c r="G17" s="40">
        <v>71091205282</v>
      </c>
      <c r="H17" s="40" t="s">
        <v>37</v>
      </c>
      <c r="I17" s="41">
        <v>43641</v>
      </c>
      <c r="J17" s="40" t="s">
        <v>80</v>
      </c>
      <c r="K17" s="39">
        <v>950</v>
      </c>
      <c r="L17" s="48">
        <v>44334</v>
      </c>
      <c r="M17" s="59">
        <v>501</v>
      </c>
      <c r="N17" s="24">
        <f t="shared" si="21"/>
        <v>2379.75</v>
      </c>
      <c r="O17" s="46">
        <f t="shared" si="12"/>
        <v>64680026.850000001</v>
      </c>
      <c r="P17" s="45">
        <f t="shared" si="13"/>
        <v>501</v>
      </c>
      <c r="Q17" s="61">
        <f t="shared" si="14"/>
        <v>2379.75</v>
      </c>
      <c r="R17" s="46">
        <f t="shared" si="15"/>
        <v>64680026.850000001</v>
      </c>
      <c r="S17" s="59">
        <v>0</v>
      </c>
      <c r="T17" s="73">
        <f t="shared" si="16"/>
        <v>0</v>
      </c>
      <c r="U17" s="57">
        <f t="shared" si="17"/>
        <v>0</v>
      </c>
      <c r="V17" s="67">
        <f t="shared" si="18"/>
        <v>167.16000000000003</v>
      </c>
      <c r="W17" s="71">
        <f t="shared" si="19"/>
        <v>794.0100000000001</v>
      </c>
      <c r="X17" s="66">
        <f t="shared" si="20"/>
        <v>531192.69000000006</v>
      </c>
      <c r="Y17" s="47">
        <f t="shared" si="9"/>
        <v>1585.7486696562034</v>
      </c>
      <c r="Z17" s="65">
        <f t="shared" si="10"/>
        <v>333.84182519077967</v>
      </c>
      <c r="AA17" s="62">
        <f t="shared" si="6"/>
        <v>1585.7486696562034</v>
      </c>
      <c r="AB17" s="64">
        <f t="shared" si="7"/>
        <v>333.84182519077967</v>
      </c>
      <c r="AC17" s="63">
        <f t="shared" si="8"/>
        <v>0</v>
      </c>
      <c r="AD17" s="168">
        <f>IFERROR(VLOOKUP(B17,IMPORTE_RESERVA!$A$2:$L$100,11,FALSE),0)</f>
        <v>1673.17</v>
      </c>
      <c r="AE17" s="170">
        <f>IFERROR(VLOOKUP(B17,IMPORTE_RESERVA!$A$2:$L$100,12,FALSE),0)</f>
        <v>1060865.8600000001</v>
      </c>
    </row>
    <row r="18" spans="1:31" x14ac:dyDescent="0.35">
      <c r="A18" s="38">
        <v>13</v>
      </c>
      <c r="B18" s="40">
        <v>22294</v>
      </c>
      <c r="C18" s="40">
        <v>9301</v>
      </c>
      <c r="D18" s="40" t="s">
        <v>65</v>
      </c>
      <c r="E18" s="74"/>
      <c r="F18" s="40" t="s">
        <v>36</v>
      </c>
      <c r="G18" s="40">
        <v>64080109008</v>
      </c>
      <c r="H18" s="40" t="s">
        <v>41</v>
      </c>
      <c r="I18" s="41">
        <v>42430</v>
      </c>
      <c r="J18" s="40" t="s">
        <v>38</v>
      </c>
      <c r="K18" s="39">
        <v>1200</v>
      </c>
      <c r="L18" s="48">
        <v>44336</v>
      </c>
      <c r="M18" s="59">
        <v>1005</v>
      </c>
      <c r="N18" s="24">
        <f t="shared" si="21"/>
        <v>4773.75</v>
      </c>
      <c r="O18" s="46">
        <f t="shared" si="12"/>
        <v>129747359.25</v>
      </c>
      <c r="P18" s="45">
        <f t="shared" si="13"/>
        <v>1005</v>
      </c>
      <c r="Q18" s="61">
        <f t="shared" si="14"/>
        <v>4773.75</v>
      </c>
      <c r="R18" s="46">
        <f t="shared" si="15"/>
        <v>129747359.25</v>
      </c>
      <c r="S18" s="59">
        <v>697.41000000000008</v>
      </c>
      <c r="T18" s="73">
        <f t="shared" si="16"/>
        <v>3312.6975000000002</v>
      </c>
      <c r="U18" s="57">
        <f t="shared" si="17"/>
        <v>2216194.6274999999</v>
      </c>
      <c r="V18" s="67">
        <f t="shared" si="18"/>
        <v>61.749999999999886</v>
      </c>
      <c r="W18" s="71">
        <f t="shared" si="19"/>
        <v>293.31249999999943</v>
      </c>
      <c r="X18" s="66">
        <f t="shared" si="20"/>
        <v>196226.06249999962</v>
      </c>
      <c r="Y18" s="47">
        <f t="shared" si="9"/>
        <v>1167.7608370702542</v>
      </c>
      <c r="Z18" s="65">
        <f t="shared" si="10"/>
        <v>245.84438675163247</v>
      </c>
      <c r="AA18" s="62">
        <f t="shared" si="6"/>
        <v>1167.7608370702542</v>
      </c>
      <c r="AB18" s="64">
        <f t="shared" si="7"/>
        <v>245.84438675163247</v>
      </c>
      <c r="AC18" s="63">
        <f t="shared" si="8"/>
        <v>0</v>
      </c>
      <c r="AD18" s="168">
        <f>IFERROR(VLOOKUP(B18,IMPORTE_RESERVA!$A$2:$L$100,11,FALSE),0)</f>
        <v>1244</v>
      </c>
      <c r="AE18" s="170">
        <f>IFERROR(VLOOKUP(B18,IMPORTE_RESERVA!$A$2:$L$100,12,FALSE),0)</f>
        <v>781232</v>
      </c>
    </row>
    <row r="19" spans="1:31" x14ac:dyDescent="0.35">
      <c r="A19" s="38">
        <v>14</v>
      </c>
      <c r="B19" s="40">
        <v>24689</v>
      </c>
      <c r="C19" s="40">
        <v>9301</v>
      </c>
      <c r="D19" s="40" t="s">
        <v>161</v>
      </c>
      <c r="E19" s="74"/>
      <c r="F19" s="40" t="s">
        <v>36</v>
      </c>
      <c r="G19" s="40">
        <v>84121827727</v>
      </c>
      <c r="H19" s="40" t="s">
        <v>82</v>
      </c>
      <c r="I19" s="41">
        <v>43551</v>
      </c>
      <c r="J19" s="40" t="s">
        <v>38</v>
      </c>
      <c r="K19" s="39">
        <v>1200</v>
      </c>
      <c r="L19" s="48">
        <v>44336</v>
      </c>
      <c r="M19" s="59">
        <v>687</v>
      </c>
      <c r="N19" s="24">
        <f t="shared" si="21"/>
        <v>3263.25</v>
      </c>
      <c r="O19" s="46">
        <f t="shared" si="12"/>
        <v>88692970.950000003</v>
      </c>
      <c r="P19" s="45">
        <f t="shared" si="13"/>
        <v>687</v>
      </c>
      <c r="Q19" s="61">
        <f t="shared" si="14"/>
        <v>3263.25</v>
      </c>
      <c r="R19" s="46">
        <f t="shared" si="15"/>
        <v>88692970.950000003</v>
      </c>
      <c r="S19" s="59">
        <v>182.5</v>
      </c>
      <c r="T19" s="73">
        <f t="shared" si="16"/>
        <v>866.875</v>
      </c>
      <c r="U19" s="57">
        <f t="shared" si="17"/>
        <v>579939.375</v>
      </c>
      <c r="V19" s="67">
        <f t="shared" si="18"/>
        <v>225.27999999999997</v>
      </c>
      <c r="W19" s="71">
        <f t="shared" si="19"/>
        <v>1070.08</v>
      </c>
      <c r="X19" s="66">
        <f t="shared" si="20"/>
        <v>715883.5199999999</v>
      </c>
      <c r="Y19" s="47">
        <f t="shared" si="9"/>
        <v>1326.2929745889387</v>
      </c>
      <c r="Z19" s="65">
        <f t="shared" si="10"/>
        <v>279.21957359767129</v>
      </c>
      <c r="AA19" s="62">
        <f t="shared" si="6"/>
        <v>1326.2929745889387</v>
      </c>
      <c r="AB19" s="64">
        <f t="shared" si="7"/>
        <v>279.21957359767129</v>
      </c>
      <c r="AC19" s="63">
        <f t="shared" si="8"/>
        <v>0</v>
      </c>
      <c r="AD19" s="168">
        <f>IFERROR(VLOOKUP(B19,IMPORTE_RESERVA!$A$2:$L$100,11,FALSE),0)</f>
        <v>1390</v>
      </c>
      <c r="AE19" s="170">
        <f>IFERROR(VLOOKUP(B19,IMPORTE_RESERVA!$A$2:$L$100,12,FALSE),0)</f>
        <v>887290</v>
      </c>
    </row>
    <row r="20" spans="1:31" x14ac:dyDescent="0.35">
      <c r="A20" s="38">
        <v>15</v>
      </c>
      <c r="B20" s="40">
        <v>17739</v>
      </c>
      <c r="C20" s="40">
        <v>9301</v>
      </c>
      <c r="D20" s="40" t="s">
        <v>162</v>
      </c>
      <c r="E20" s="74"/>
      <c r="F20" s="40" t="s">
        <v>36</v>
      </c>
      <c r="G20" s="40">
        <v>66040627739</v>
      </c>
      <c r="H20" s="40" t="s">
        <v>41</v>
      </c>
      <c r="I20" s="41">
        <v>42685</v>
      </c>
      <c r="J20" s="40" t="s">
        <v>38</v>
      </c>
      <c r="K20" s="39">
        <v>1200</v>
      </c>
      <c r="L20" s="48">
        <v>44336</v>
      </c>
      <c r="M20" s="59">
        <v>995</v>
      </c>
      <c r="N20" s="24">
        <f t="shared" si="21"/>
        <v>4726.25</v>
      </c>
      <c r="O20" s="46">
        <f t="shared" si="12"/>
        <v>128456340.75</v>
      </c>
      <c r="P20" s="45">
        <f t="shared" si="13"/>
        <v>995</v>
      </c>
      <c r="Q20" s="61">
        <f t="shared" si="14"/>
        <v>4726.25</v>
      </c>
      <c r="R20" s="46">
        <f t="shared" si="15"/>
        <v>128456340.75</v>
      </c>
      <c r="S20" s="59">
        <v>755.25</v>
      </c>
      <c r="T20" s="73">
        <f t="shared" si="16"/>
        <v>3587.4375</v>
      </c>
      <c r="U20" s="57">
        <f t="shared" si="17"/>
        <v>2399995.6875</v>
      </c>
      <c r="V20" s="67">
        <f t="shared" si="18"/>
        <v>239.75</v>
      </c>
      <c r="W20" s="71">
        <f t="shared" si="19"/>
        <v>1138.8125</v>
      </c>
      <c r="X20" s="66">
        <f t="shared" si="20"/>
        <v>761865.5625</v>
      </c>
      <c r="Y20" s="47">
        <f t="shared" si="9"/>
        <v>0</v>
      </c>
      <c r="Z20" s="65">
        <f t="shared" si="10"/>
        <v>0</v>
      </c>
      <c r="AA20" s="62">
        <f t="shared" si="6"/>
        <v>0</v>
      </c>
      <c r="AB20" s="64">
        <f t="shared" si="7"/>
        <v>0</v>
      </c>
      <c r="AC20" s="63">
        <f t="shared" si="8"/>
        <v>0</v>
      </c>
      <c r="AD20" s="168">
        <f>IFERROR(VLOOKUP(B20,IMPORTE_RESERVA!$A$2:$L$100,11,FALSE),0)</f>
        <v>0</v>
      </c>
      <c r="AE20" s="170">
        <f>IFERROR(VLOOKUP(B20,IMPORTE_RESERVA!$A$2:$L$100,12,FALSE),0)</f>
        <v>0</v>
      </c>
    </row>
    <row r="21" spans="1:31" x14ac:dyDescent="0.35">
      <c r="A21" s="38">
        <v>16</v>
      </c>
      <c r="B21" s="40">
        <v>25380</v>
      </c>
      <c r="C21" s="40">
        <v>9301</v>
      </c>
      <c r="D21" s="40" t="s">
        <v>163</v>
      </c>
      <c r="E21" s="74"/>
      <c r="F21" s="40" t="s">
        <v>36</v>
      </c>
      <c r="G21" s="40">
        <v>66120227099</v>
      </c>
      <c r="H21" s="40" t="s">
        <v>42</v>
      </c>
      <c r="I21" s="41">
        <v>43252</v>
      </c>
      <c r="J21" s="40" t="s">
        <v>80</v>
      </c>
      <c r="K21" s="39">
        <v>950</v>
      </c>
      <c r="L21" s="48">
        <v>44336</v>
      </c>
      <c r="M21" s="59">
        <v>996</v>
      </c>
      <c r="N21" s="24">
        <f t="shared" si="21"/>
        <v>4731</v>
      </c>
      <c r="O21" s="46">
        <f t="shared" si="12"/>
        <v>128585442.60000001</v>
      </c>
      <c r="P21" s="45">
        <f t="shared" si="13"/>
        <v>996</v>
      </c>
      <c r="Q21" s="61">
        <f t="shared" si="14"/>
        <v>4731</v>
      </c>
      <c r="R21" s="46">
        <f t="shared" si="15"/>
        <v>128585442.60000001</v>
      </c>
      <c r="S21" s="59">
        <v>181</v>
      </c>
      <c r="T21" s="73">
        <f t="shared" si="16"/>
        <v>859.75</v>
      </c>
      <c r="U21" s="57">
        <f t="shared" si="17"/>
        <v>575172.75</v>
      </c>
      <c r="V21" s="67">
        <f t="shared" si="18"/>
        <v>539.51</v>
      </c>
      <c r="W21" s="71">
        <f t="shared" si="19"/>
        <v>2562.6725000000001</v>
      </c>
      <c r="X21" s="66">
        <f t="shared" si="20"/>
        <v>1714427.9025000001</v>
      </c>
      <c r="Y21" s="47">
        <f t="shared" si="9"/>
        <v>1308.5680119581466</v>
      </c>
      <c r="Z21" s="65">
        <f t="shared" si="10"/>
        <v>275.48800251750453</v>
      </c>
      <c r="AA21" s="62">
        <f t="shared" si="6"/>
        <v>1308.5680119581466</v>
      </c>
      <c r="AB21" s="64">
        <f t="shared" si="7"/>
        <v>275.48800251750453</v>
      </c>
      <c r="AC21" s="63">
        <f t="shared" si="8"/>
        <v>0</v>
      </c>
      <c r="AD21" s="168">
        <f>IFERROR(VLOOKUP(B21,IMPORTE_RESERVA!$A$2:$L$100,11,FALSE),0)</f>
        <v>1394</v>
      </c>
      <c r="AE21" s="170">
        <f>IFERROR(VLOOKUP(B21,IMPORTE_RESERVA!$A$2:$L$100,12,FALSE),0)</f>
        <v>875432</v>
      </c>
    </row>
    <row r="22" spans="1:31" x14ac:dyDescent="0.35">
      <c r="A22" s="38">
        <v>17</v>
      </c>
      <c r="B22" s="40">
        <v>23528</v>
      </c>
      <c r="C22" s="40">
        <v>9301</v>
      </c>
      <c r="D22" s="40" t="s">
        <v>164</v>
      </c>
      <c r="E22" s="74"/>
      <c r="F22" s="40" t="s">
        <v>36</v>
      </c>
      <c r="G22" s="40">
        <v>63120716944</v>
      </c>
      <c r="H22" s="40" t="s">
        <v>69</v>
      </c>
      <c r="I22" s="41">
        <v>42614</v>
      </c>
      <c r="J22" s="40" t="s">
        <v>38</v>
      </c>
      <c r="K22" s="39">
        <v>1200</v>
      </c>
      <c r="L22" s="48">
        <v>44334</v>
      </c>
      <c r="M22" s="59">
        <v>880</v>
      </c>
      <c r="N22" s="24">
        <f t="shared" si="21"/>
        <v>4180</v>
      </c>
      <c r="O22" s="46">
        <f t="shared" si="12"/>
        <v>113609628</v>
      </c>
      <c r="P22" s="45">
        <f t="shared" si="13"/>
        <v>880</v>
      </c>
      <c r="Q22" s="61">
        <f t="shared" si="14"/>
        <v>4180</v>
      </c>
      <c r="R22" s="46">
        <f t="shared" si="15"/>
        <v>113609628</v>
      </c>
      <c r="S22" s="59">
        <v>331.6</v>
      </c>
      <c r="T22" s="73">
        <f t="shared" si="16"/>
        <v>1575.1000000000001</v>
      </c>
      <c r="U22" s="57">
        <f t="shared" si="17"/>
        <v>1053741.9000000001</v>
      </c>
      <c r="V22" s="67">
        <f t="shared" si="18"/>
        <v>68.199999999999989</v>
      </c>
      <c r="W22" s="71">
        <f t="shared" si="19"/>
        <v>323.94999999999993</v>
      </c>
      <c r="X22" s="66">
        <f t="shared" si="20"/>
        <v>216722.54999999996</v>
      </c>
      <c r="Y22" s="47">
        <f t="shared" si="9"/>
        <v>2280.9656203288491</v>
      </c>
      <c r="Z22" s="65">
        <f t="shared" si="10"/>
        <v>480.20328849028402</v>
      </c>
      <c r="AA22" s="62">
        <f t="shared" si="6"/>
        <v>2280.9656203288491</v>
      </c>
      <c r="AB22" s="64">
        <f t="shared" si="7"/>
        <v>480.20328849028402</v>
      </c>
      <c r="AC22" s="63">
        <f t="shared" si="8"/>
        <v>0</v>
      </c>
      <c r="AD22" s="168">
        <f>IFERROR(VLOOKUP(B22,IMPORTE_RESERVA!$A$2:$L$100,11,FALSE),0)</f>
        <v>2407</v>
      </c>
      <c r="AE22" s="170">
        <f>IFERROR(VLOOKUP(B22,IMPORTE_RESERVA!$A$2:$L$100,12,FALSE),0)</f>
        <v>1525966</v>
      </c>
    </row>
    <row r="23" spans="1:31" x14ac:dyDescent="0.35">
      <c r="A23" s="38">
        <v>18</v>
      </c>
      <c r="B23" s="40">
        <v>25262</v>
      </c>
      <c r="C23" s="40">
        <v>9301</v>
      </c>
      <c r="D23" s="40" t="s">
        <v>165</v>
      </c>
      <c r="E23" s="74"/>
      <c r="F23" s="40" t="s">
        <v>36</v>
      </c>
      <c r="G23" s="40">
        <v>80120303237</v>
      </c>
      <c r="H23" s="40" t="s">
        <v>72</v>
      </c>
      <c r="I23" s="41">
        <v>43191</v>
      </c>
      <c r="J23" s="40" t="s">
        <v>80</v>
      </c>
      <c r="K23" s="39">
        <v>1200</v>
      </c>
      <c r="L23" s="48">
        <v>44336</v>
      </c>
      <c r="M23" s="59">
        <v>828</v>
      </c>
      <c r="N23" s="24">
        <f t="shared" si="21"/>
        <v>3933</v>
      </c>
      <c r="O23" s="46">
        <f t="shared" si="12"/>
        <v>106896331.80000001</v>
      </c>
      <c r="P23" s="45">
        <f t="shared" si="13"/>
        <v>828</v>
      </c>
      <c r="Q23" s="61">
        <f t="shared" si="14"/>
        <v>3933</v>
      </c>
      <c r="R23" s="46">
        <f t="shared" si="15"/>
        <v>106896331.80000001</v>
      </c>
      <c r="S23" s="59">
        <v>0</v>
      </c>
      <c r="T23" s="73">
        <f t="shared" si="16"/>
        <v>0</v>
      </c>
      <c r="U23" s="57">
        <f t="shared" si="17"/>
        <v>0</v>
      </c>
      <c r="V23" s="67">
        <f t="shared" si="18"/>
        <v>329.22</v>
      </c>
      <c r="W23" s="71">
        <f t="shared" si="19"/>
        <v>1563.7950000000001</v>
      </c>
      <c r="X23" s="66">
        <f t="shared" si="20"/>
        <v>1046178.8550000001</v>
      </c>
      <c r="Y23" s="47">
        <f t="shared" si="9"/>
        <v>2369.2077727952169</v>
      </c>
      <c r="Z23" s="65">
        <f t="shared" si="10"/>
        <v>498.78058374636146</v>
      </c>
      <c r="AA23" s="62">
        <f t="shared" si="6"/>
        <v>2369.2077727952169</v>
      </c>
      <c r="AB23" s="64">
        <f t="shared" si="7"/>
        <v>498.78058374636146</v>
      </c>
      <c r="AC23" s="63">
        <f t="shared" si="8"/>
        <v>0</v>
      </c>
      <c r="AD23" s="168">
        <f>IFERROR(VLOOKUP(B23,IMPORTE_RESERVA!$A$2:$L$100,11,FALSE),0)</f>
        <v>2500</v>
      </c>
      <c r="AE23" s="170">
        <f>IFERROR(VLOOKUP(B23,IMPORTE_RESERVA!$A$2:$L$100,12,FALSE),0)</f>
        <v>1585000</v>
      </c>
    </row>
    <row r="24" spans="1:31" hidden="1" x14ac:dyDescent="0.35">
      <c r="A24" s="38">
        <v>19</v>
      </c>
      <c r="B24" s="40">
        <v>25535</v>
      </c>
      <c r="C24" s="40">
        <v>9301</v>
      </c>
      <c r="D24" s="138" t="s">
        <v>166</v>
      </c>
      <c r="E24" s="74"/>
      <c r="F24" s="40" t="s">
        <v>36</v>
      </c>
      <c r="G24" s="40">
        <v>62090609329</v>
      </c>
      <c r="H24" s="40" t="s">
        <v>42</v>
      </c>
      <c r="I24" s="41">
        <v>43405</v>
      </c>
      <c r="J24" s="40" t="s">
        <v>80</v>
      </c>
      <c r="K24" s="39">
        <v>778</v>
      </c>
      <c r="L24" s="48"/>
      <c r="M24" s="59">
        <v>0</v>
      </c>
      <c r="N24" s="24">
        <f t="shared" si="21"/>
        <v>0</v>
      </c>
      <c r="O24" s="46">
        <f t="shared" si="12"/>
        <v>0</v>
      </c>
      <c r="P24" s="45">
        <f t="shared" si="13"/>
        <v>0</v>
      </c>
      <c r="Q24" s="61">
        <f t="shared" si="14"/>
        <v>0</v>
      </c>
      <c r="R24" s="46">
        <f t="shared" si="15"/>
        <v>0</v>
      </c>
      <c r="S24" s="59">
        <v>0</v>
      </c>
      <c r="T24" s="73">
        <f t="shared" si="16"/>
        <v>0</v>
      </c>
      <c r="U24" s="57">
        <f t="shared" si="17"/>
        <v>0</v>
      </c>
      <c r="V24" s="67">
        <f t="shared" si="18"/>
        <v>0</v>
      </c>
      <c r="W24" s="71">
        <f t="shared" si="19"/>
        <v>0</v>
      </c>
      <c r="X24" s="66">
        <f t="shared" si="20"/>
        <v>0</v>
      </c>
      <c r="Y24" s="47">
        <f t="shared" si="9"/>
        <v>1235.3066367713004</v>
      </c>
      <c r="Z24" s="65">
        <f t="shared" si="10"/>
        <v>260.06455510974746</v>
      </c>
      <c r="AA24" s="62">
        <f t="shared" si="6"/>
        <v>0</v>
      </c>
      <c r="AB24" s="64">
        <f t="shared" si="7"/>
        <v>0</v>
      </c>
      <c r="AC24" s="63">
        <f t="shared" si="8"/>
        <v>1235.3066367713004</v>
      </c>
      <c r="AD24" s="168">
        <f>IFERROR(VLOOKUP(B24,IMPORTE_RESERVA!$A$2:$L$100,11,FALSE),0)</f>
        <v>1303.83</v>
      </c>
      <c r="AE24" s="170">
        <f>IFERROR(VLOOKUP(B24,IMPORTE_RESERVA!$A$2:$L$100,12,FALSE),0)</f>
        <v>826420.14</v>
      </c>
    </row>
    <row r="25" spans="1:31" x14ac:dyDescent="0.35">
      <c r="A25" s="38">
        <v>20</v>
      </c>
      <c r="B25" s="40">
        <v>25313</v>
      </c>
      <c r="C25" s="40">
        <v>9301</v>
      </c>
      <c r="D25" s="40" t="s">
        <v>167</v>
      </c>
      <c r="E25" s="74"/>
      <c r="F25" s="40" t="s">
        <v>36</v>
      </c>
      <c r="G25" s="40">
        <v>66022406428</v>
      </c>
      <c r="H25" s="40" t="s">
        <v>41</v>
      </c>
      <c r="I25" s="41">
        <v>43252</v>
      </c>
      <c r="J25" s="40" t="s">
        <v>38</v>
      </c>
      <c r="K25" s="39">
        <v>1200</v>
      </c>
      <c r="L25" s="48">
        <v>44336</v>
      </c>
      <c r="M25" s="59">
        <v>109</v>
      </c>
      <c r="N25" s="24">
        <f t="shared" si="21"/>
        <v>517.75</v>
      </c>
      <c r="O25" s="46">
        <f t="shared" si="12"/>
        <v>14072101.65</v>
      </c>
      <c r="P25" s="45">
        <f t="shared" si="13"/>
        <v>109</v>
      </c>
      <c r="Q25" s="61">
        <f t="shared" si="14"/>
        <v>517.75</v>
      </c>
      <c r="R25" s="46">
        <f t="shared" si="15"/>
        <v>14072101.65</v>
      </c>
      <c r="S25" s="59">
        <v>0</v>
      </c>
      <c r="T25" s="73">
        <f t="shared" si="16"/>
        <v>0</v>
      </c>
      <c r="U25" s="57">
        <f t="shared" si="17"/>
        <v>0</v>
      </c>
      <c r="V25" s="67">
        <f t="shared" si="18"/>
        <v>0</v>
      </c>
      <c r="W25" s="71">
        <f t="shared" si="19"/>
        <v>0</v>
      </c>
      <c r="X25" s="66">
        <f t="shared" si="20"/>
        <v>0</v>
      </c>
      <c r="Y25" s="47">
        <f t="shared" si="9"/>
        <v>1710.337817638266</v>
      </c>
      <c r="Z25" s="65">
        <f t="shared" si="10"/>
        <v>360.07111950279284</v>
      </c>
      <c r="AA25" s="62">
        <f t="shared" si="6"/>
        <v>517.75</v>
      </c>
      <c r="AB25" s="64">
        <f t="shared" si="7"/>
        <v>109</v>
      </c>
      <c r="AC25" s="63">
        <f t="shared" si="8"/>
        <v>1192.587817638266</v>
      </c>
      <c r="AD25" s="168">
        <f>IFERROR(VLOOKUP(B25,IMPORTE_RESERVA!$A$2:$L$100,11,FALSE),0)</f>
        <v>1822</v>
      </c>
      <c r="AE25" s="170">
        <f>IFERROR(VLOOKUP(B25,IMPORTE_RESERVA!$A$2:$L$100,12,FALSE),0)</f>
        <v>1144216</v>
      </c>
    </row>
    <row r="26" spans="1:31" x14ac:dyDescent="0.35">
      <c r="A26" s="38">
        <v>21</v>
      </c>
      <c r="B26" s="40">
        <v>24838</v>
      </c>
      <c r="C26" s="40">
        <v>9301</v>
      </c>
      <c r="D26" s="40" t="s">
        <v>168</v>
      </c>
      <c r="E26" s="74"/>
      <c r="F26" s="40" t="s">
        <v>36</v>
      </c>
      <c r="G26" s="40">
        <v>75092818791</v>
      </c>
      <c r="H26" s="40" t="s">
        <v>66</v>
      </c>
      <c r="I26" s="41">
        <v>43551</v>
      </c>
      <c r="J26" s="40" t="s">
        <v>80</v>
      </c>
      <c r="K26" s="39">
        <v>1200</v>
      </c>
      <c r="L26" s="48">
        <v>44334</v>
      </c>
      <c r="M26" s="59">
        <v>1135</v>
      </c>
      <c r="N26" s="24">
        <f t="shared" si="21"/>
        <v>5391.25</v>
      </c>
      <c r="O26" s="46">
        <f t="shared" si="12"/>
        <v>146530599.75</v>
      </c>
      <c r="P26" s="45">
        <f t="shared" si="13"/>
        <v>1135</v>
      </c>
      <c r="Q26" s="61">
        <f t="shared" si="14"/>
        <v>5391.25</v>
      </c>
      <c r="R26" s="46">
        <f t="shared" si="15"/>
        <v>146530599.75</v>
      </c>
      <c r="S26" s="59">
        <v>0</v>
      </c>
      <c r="T26" s="73">
        <f t="shared" si="16"/>
        <v>0</v>
      </c>
      <c r="U26" s="57">
        <f t="shared" si="17"/>
        <v>0</v>
      </c>
      <c r="V26" s="67">
        <f t="shared" si="18"/>
        <v>675.74</v>
      </c>
      <c r="W26" s="71">
        <f t="shared" si="19"/>
        <v>3209.7649999999999</v>
      </c>
      <c r="X26" s="66">
        <f t="shared" si="20"/>
        <v>2147332.7849999997</v>
      </c>
      <c r="Y26" s="47">
        <f t="shared" si="9"/>
        <v>2181.4618834080716</v>
      </c>
      <c r="Z26" s="65">
        <f t="shared" si="10"/>
        <v>459.25513334906771</v>
      </c>
      <c r="AA26" s="62">
        <f t="shared" si="6"/>
        <v>2181.4618834080716</v>
      </c>
      <c r="AB26" s="64">
        <f t="shared" si="7"/>
        <v>459.25513334906771</v>
      </c>
      <c r="AC26" s="63">
        <f t="shared" si="8"/>
        <v>0</v>
      </c>
      <c r="AD26" s="168">
        <f>IFERROR(VLOOKUP(B26,IMPORTE_RESERVA!$A$2:$L$100,11,FALSE),0)</f>
        <v>2301</v>
      </c>
      <c r="AE26" s="170">
        <f>IFERROR(VLOOKUP(B26,IMPORTE_RESERVA!$A$2:$L$100,12,FALSE),0)</f>
        <v>1459398</v>
      </c>
    </row>
    <row r="27" spans="1:31" x14ac:dyDescent="0.35">
      <c r="A27" s="38">
        <v>22</v>
      </c>
      <c r="B27" s="40">
        <v>24311</v>
      </c>
      <c r="C27" s="40">
        <v>9301</v>
      </c>
      <c r="D27" s="40" t="s">
        <v>67</v>
      </c>
      <c r="E27" s="74"/>
      <c r="F27" s="40" t="s">
        <v>36</v>
      </c>
      <c r="G27" s="40">
        <v>63022707924</v>
      </c>
      <c r="H27" s="40" t="s">
        <v>68</v>
      </c>
      <c r="I27" s="41">
        <v>42948</v>
      </c>
      <c r="J27" s="40" t="s">
        <v>38</v>
      </c>
      <c r="K27" s="39">
        <v>1200</v>
      </c>
      <c r="L27" s="48">
        <v>44336</v>
      </c>
      <c r="M27" s="59">
        <v>298</v>
      </c>
      <c r="N27" s="24">
        <f t="shared" si="21"/>
        <v>1415.5</v>
      </c>
      <c r="O27" s="46">
        <f t="shared" si="12"/>
        <v>38472351.300000004</v>
      </c>
      <c r="P27" s="45">
        <f t="shared" si="13"/>
        <v>298</v>
      </c>
      <c r="Q27" s="61">
        <f t="shared" si="14"/>
        <v>1415.5</v>
      </c>
      <c r="R27" s="46">
        <f t="shared" si="15"/>
        <v>38472351.300000004</v>
      </c>
      <c r="S27" s="59">
        <v>0</v>
      </c>
      <c r="T27" s="73">
        <f t="shared" si="16"/>
        <v>0</v>
      </c>
      <c r="U27" s="57">
        <f t="shared" si="17"/>
        <v>0</v>
      </c>
      <c r="V27" s="67">
        <f t="shared" si="18"/>
        <v>41.680000000000007</v>
      </c>
      <c r="W27" s="71">
        <f t="shared" si="19"/>
        <v>197.98000000000002</v>
      </c>
      <c r="X27" s="66">
        <f t="shared" si="20"/>
        <v>132448.62000000002</v>
      </c>
      <c r="Y27" s="47">
        <f t="shared" si="9"/>
        <v>1217.5127055306427</v>
      </c>
      <c r="Z27" s="65">
        <f t="shared" si="10"/>
        <v>256.31846432224057</v>
      </c>
      <c r="AA27" s="62">
        <f t="shared" si="6"/>
        <v>1217.5127055306427</v>
      </c>
      <c r="AB27" s="64">
        <f t="shared" si="7"/>
        <v>256.31846432224057</v>
      </c>
      <c r="AC27" s="63">
        <f t="shared" si="8"/>
        <v>0</v>
      </c>
      <c r="AD27" s="168">
        <f>IFERROR(VLOOKUP(B27,IMPORTE_RESERVA!$A$2:$L$100,11,FALSE),0)</f>
        <v>1297</v>
      </c>
      <c r="AE27" s="170">
        <f>IFERROR(VLOOKUP(B27,IMPORTE_RESERVA!$A$2:$L$100,12,FALSE),0)</f>
        <v>814516</v>
      </c>
    </row>
    <row r="28" spans="1:31" x14ac:dyDescent="0.35">
      <c r="A28" s="38">
        <v>23</v>
      </c>
      <c r="B28" s="40">
        <v>24781</v>
      </c>
      <c r="C28" s="40">
        <v>9301</v>
      </c>
      <c r="D28" s="40" t="s">
        <v>169</v>
      </c>
      <c r="E28" s="74"/>
      <c r="F28" s="40" t="s">
        <v>36</v>
      </c>
      <c r="G28" s="40">
        <v>66112212153</v>
      </c>
      <c r="H28" s="40" t="s">
        <v>39</v>
      </c>
      <c r="I28" s="41">
        <v>43221</v>
      </c>
      <c r="J28" s="40" t="s">
        <v>80</v>
      </c>
      <c r="K28" s="39">
        <v>1200</v>
      </c>
      <c r="L28" s="48">
        <v>44336</v>
      </c>
      <c r="M28" s="59">
        <v>577</v>
      </c>
      <c r="N28" s="24">
        <f t="shared" si="21"/>
        <v>2740.75</v>
      </c>
      <c r="O28" s="46">
        <f t="shared" si="12"/>
        <v>74491767.450000003</v>
      </c>
      <c r="P28" s="45">
        <f t="shared" si="13"/>
        <v>577</v>
      </c>
      <c r="Q28" s="61">
        <f t="shared" si="14"/>
        <v>2740.75</v>
      </c>
      <c r="R28" s="46">
        <f t="shared" si="15"/>
        <v>74491767.450000003</v>
      </c>
      <c r="S28" s="59">
        <v>9.3400000000000318</v>
      </c>
      <c r="T28" s="73">
        <f t="shared" si="16"/>
        <v>44.365000000000151</v>
      </c>
      <c r="U28" s="57">
        <f t="shared" si="17"/>
        <v>29680.1850000001</v>
      </c>
      <c r="V28" s="67">
        <f t="shared" si="18"/>
        <v>68.88</v>
      </c>
      <c r="W28" s="71">
        <f t="shared" si="19"/>
        <v>327.17999999999995</v>
      </c>
      <c r="X28" s="66">
        <f t="shared" si="20"/>
        <v>218883.41999999995</v>
      </c>
      <c r="Y28" s="47">
        <f t="shared" si="9"/>
        <v>2369.2077727952169</v>
      </c>
      <c r="Z28" s="65">
        <f t="shared" si="10"/>
        <v>498.78058374636146</v>
      </c>
      <c r="AA28" s="62">
        <f t="shared" si="6"/>
        <v>2369.2077727952169</v>
      </c>
      <c r="AB28" s="64">
        <f t="shared" si="7"/>
        <v>498.78058374636146</v>
      </c>
      <c r="AC28" s="63">
        <f t="shared" si="8"/>
        <v>0</v>
      </c>
      <c r="AD28" s="168">
        <f>IFERROR(VLOOKUP(B28,IMPORTE_RESERVA!$A$2:$L$100,11,FALSE),0)</f>
        <v>2500</v>
      </c>
      <c r="AE28" s="170">
        <f>IFERROR(VLOOKUP(B28,IMPORTE_RESERVA!$A$2:$L$100,12,FALSE),0)</f>
        <v>1585000</v>
      </c>
    </row>
    <row r="29" spans="1:31" x14ac:dyDescent="0.35">
      <c r="A29" s="38">
        <v>24</v>
      </c>
      <c r="B29" s="40">
        <v>24673</v>
      </c>
      <c r="C29" s="40">
        <v>9301</v>
      </c>
      <c r="D29" s="40" t="s">
        <v>170</v>
      </c>
      <c r="E29" s="74"/>
      <c r="F29" s="40" t="s">
        <v>36</v>
      </c>
      <c r="G29" s="40">
        <v>58110900661</v>
      </c>
      <c r="H29" s="40" t="s">
        <v>171</v>
      </c>
      <c r="I29" s="41">
        <v>43252</v>
      </c>
      <c r="J29" s="40" t="s">
        <v>80</v>
      </c>
      <c r="K29" s="39">
        <v>1200</v>
      </c>
      <c r="L29" s="48">
        <v>44336</v>
      </c>
      <c r="M29" s="59">
        <v>836</v>
      </c>
      <c r="N29" s="24">
        <f t="shared" si="21"/>
        <v>3971</v>
      </c>
      <c r="O29" s="46">
        <f t="shared" si="12"/>
        <v>107929146.60000001</v>
      </c>
      <c r="P29" s="45">
        <f t="shared" si="13"/>
        <v>836</v>
      </c>
      <c r="Q29" s="61">
        <f t="shared" si="14"/>
        <v>3971</v>
      </c>
      <c r="R29" s="46">
        <f t="shared" si="15"/>
        <v>107929146.60000001</v>
      </c>
      <c r="S29" s="59">
        <v>393.82</v>
      </c>
      <c r="T29" s="73">
        <f t="shared" si="16"/>
        <v>1870.645</v>
      </c>
      <c r="U29" s="57">
        <f t="shared" si="17"/>
        <v>1251461.5049999999</v>
      </c>
      <c r="V29" s="67">
        <f t="shared" si="18"/>
        <v>67.88</v>
      </c>
      <c r="W29" s="71">
        <f t="shared" si="19"/>
        <v>322.42999999999995</v>
      </c>
      <c r="X29" s="66">
        <f t="shared" si="20"/>
        <v>215705.66999999995</v>
      </c>
      <c r="Y29" s="47">
        <f t="shared" si="9"/>
        <v>1777.9252615844543</v>
      </c>
      <c r="Z29" s="65">
        <f t="shared" si="10"/>
        <v>374.30005507041142</v>
      </c>
      <c r="AA29" s="62">
        <f t="shared" si="6"/>
        <v>1777.9252615844543</v>
      </c>
      <c r="AB29" s="64">
        <f t="shared" si="7"/>
        <v>374.30005507041142</v>
      </c>
      <c r="AC29" s="63">
        <f t="shared" si="8"/>
        <v>0</v>
      </c>
      <c r="AD29" s="168">
        <f>IFERROR(VLOOKUP(B29,IMPORTE_RESERVA!$A$2:$L$100,11,FALSE),0)</f>
        <v>1894</v>
      </c>
      <c r="AE29" s="170">
        <f>IFERROR(VLOOKUP(B29,IMPORTE_RESERVA!$A$2:$L$100,12,FALSE),0)</f>
        <v>1189432</v>
      </c>
    </row>
    <row r="30" spans="1:31" hidden="1" x14ac:dyDescent="0.35">
      <c r="A30" s="38">
        <v>25</v>
      </c>
      <c r="B30" s="40">
        <v>13483</v>
      </c>
      <c r="C30" s="40">
        <v>9301</v>
      </c>
      <c r="D30" s="138" t="s">
        <v>172</v>
      </c>
      <c r="E30" s="74"/>
      <c r="F30" s="40" t="s">
        <v>64</v>
      </c>
      <c r="G30" s="40">
        <v>68031000067</v>
      </c>
      <c r="H30" s="40" t="s">
        <v>173</v>
      </c>
      <c r="I30" s="41">
        <v>43904</v>
      </c>
      <c r="J30" s="40" t="s">
        <v>43</v>
      </c>
      <c r="K30" s="39">
        <v>1200</v>
      </c>
      <c r="L30" s="48"/>
      <c r="M30" s="59">
        <v>0</v>
      </c>
      <c r="N30" s="24">
        <f t="shared" si="21"/>
        <v>0</v>
      </c>
      <c r="O30" s="46">
        <f t="shared" si="12"/>
        <v>0</v>
      </c>
      <c r="P30" s="45">
        <f t="shared" si="13"/>
        <v>0</v>
      </c>
      <c r="Q30" s="61">
        <f t="shared" si="14"/>
        <v>0</v>
      </c>
      <c r="R30" s="46">
        <f t="shared" si="15"/>
        <v>0</v>
      </c>
      <c r="S30" s="59">
        <v>0</v>
      </c>
      <c r="T30" s="73">
        <f t="shared" si="16"/>
        <v>0</v>
      </c>
      <c r="U30" s="57">
        <f t="shared" si="17"/>
        <v>0</v>
      </c>
      <c r="V30" s="67">
        <f t="shared" si="18"/>
        <v>0</v>
      </c>
      <c r="W30" s="71">
        <f t="shared" si="19"/>
        <v>0</v>
      </c>
      <c r="X30" s="66">
        <f t="shared" si="20"/>
        <v>0</v>
      </c>
      <c r="Y30" s="47">
        <f t="shared" si="9"/>
        <v>0</v>
      </c>
      <c r="Z30" s="65">
        <f t="shared" si="10"/>
        <v>0</v>
      </c>
      <c r="AA30" s="62">
        <f t="shared" si="6"/>
        <v>0</v>
      </c>
      <c r="AB30" s="64">
        <f t="shared" si="7"/>
        <v>0</v>
      </c>
      <c r="AC30" s="63">
        <f t="shared" si="8"/>
        <v>0</v>
      </c>
      <c r="AD30" s="168">
        <f>IFERROR(VLOOKUP(B30,IMPORTE_RESERVA!$A$2:$L$100,11,FALSE),0)</f>
        <v>0</v>
      </c>
      <c r="AE30" s="170">
        <f>IFERROR(VLOOKUP(B30,IMPORTE_RESERVA!$A$2:$L$100,12,FALSE),0)</f>
        <v>0</v>
      </c>
    </row>
    <row r="31" spans="1:31" s="77" customFormat="1" x14ac:dyDescent="0.35">
      <c r="A31" s="75">
        <v>26</v>
      </c>
      <c r="B31" s="139">
        <v>23478</v>
      </c>
      <c r="C31" s="139">
        <v>9301</v>
      </c>
      <c r="D31" s="155" t="s">
        <v>174</v>
      </c>
      <c r="E31" s="74"/>
      <c r="F31" s="139" t="s">
        <v>36</v>
      </c>
      <c r="G31" s="139">
        <v>66082300763</v>
      </c>
      <c r="H31" s="139" t="s">
        <v>41</v>
      </c>
      <c r="I31" s="140">
        <v>42614</v>
      </c>
      <c r="J31" s="139" t="s">
        <v>80</v>
      </c>
      <c r="K31" s="139">
        <v>1200</v>
      </c>
      <c r="L31" s="76">
        <v>44334</v>
      </c>
      <c r="M31" s="141">
        <v>872</v>
      </c>
      <c r="N31" s="142">
        <f t="shared" si="21"/>
        <v>4142</v>
      </c>
      <c r="O31" s="143">
        <f t="shared" si="12"/>
        <v>112576813.2</v>
      </c>
      <c r="P31" s="144">
        <f t="shared" si="13"/>
        <v>872</v>
      </c>
      <c r="Q31" s="145">
        <f t="shared" si="14"/>
        <v>4142</v>
      </c>
      <c r="R31" s="143">
        <f t="shared" si="15"/>
        <v>112576813.2</v>
      </c>
      <c r="S31" s="141">
        <v>0</v>
      </c>
      <c r="T31" s="146">
        <f t="shared" si="16"/>
        <v>0</v>
      </c>
      <c r="U31" s="147">
        <f t="shared" si="17"/>
        <v>0</v>
      </c>
      <c r="V31" s="148">
        <f t="shared" si="18"/>
        <v>417.09</v>
      </c>
      <c r="W31" s="149">
        <f t="shared" si="19"/>
        <v>1981.1774999999998</v>
      </c>
      <c r="X31" s="150">
        <f t="shared" si="20"/>
        <v>1325407.7474999998</v>
      </c>
      <c r="Y31" s="47">
        <f t="shared" si="9"/>
        <v>2160.8101644245144</v>
      </c>
      <c r="Z31" s="151">
        <f t="shared" si="10"/>
        <v>454.90740303673988</v>
      </c>
      <c r="AA31" s="152">
        <f t="shared" si="6"/>
        <v>2160.8101644245144</v>
      </c>
      <c r="AB31" s="153">
        <f t="shared" si="7"/>
        <v>454.90740303673988</v>
      </c>
      <c r="AC31" s="154">
        <f t="shared" si="8"/>
        <v>0</v>
      </c>
      <c r="AD31" s="168">
        <f>IFERROR(VLOOKUP(B31,IMPORTE_RESERVA!$A$2:$L$100,11,FALSE),0)</f>
        <v>2279</v>
      </c>
      <c r="AE31" s="170">
        <f>IFERROR(VLOOKUP(B31,IMPORTE_RESERVA!$A$2:$L$100,12,FALSE),0)</f>
        <v>1445582</v>
      </c>
    </row>
    <row r="32" spans="1:31" hidden="1" x14ac:dyDescent="0.35">
      <c r="A32" s="38">
        <v>27</v>
      </c>
      <c r="B32" s="40">
        <v>26652</v>
      </c>
      <c r="C32" s="40">
        <v>9301</v>
      </c>
      <c r="D32" s="138" t="s">
        <v>175</v>
      </c>
      <c r="E32" s="74"/>
      <c r="F32" s="40" t="s">
        <v>176</v>
      </c>
      <c r="G32" s="40">
        <v>64092529206</v>
      </c>
      <c r="H32" s="40" t="s">
        <v>82</v>
      </c>
      <c r="I32" s="41">
        <v>25569</v>
      </c>
      <c r="J32" s="40" t="s">
        <v>80</v>
      </c>
      <c r="K32" s="39">
        <v>1200</v>
      </c>
      <c r="L32" s="48"/>
      <c r="M32" s="59">
        <v>0</v>
      </c>
      <c r="N32" s="24">
        <f t="shared" si="21"/>
        <v>0</v>
      </c>
      <c r="O32" s="46">
        <f t="shared" si="12"/>
        <v>0</v>
      </c>
      <c r="P32" s="45">
        <f t="shared" si="13"/>
        <v>0</v>
      </c>
      <c r="Q32" s="61">
        <f t="shared" si="14"/>
        <v>0</v>
      </c>
      <c r="R32" s="46">
        <f t="shared" si="15"/>
        <v>0</v>
      </c>
      <c r="S32" s="59">
        <v>0</v>
      </c>
      <c r="T32" s="73">
        <f t="shared" si="16"/>
        <v>0</v>
      </c>
      <c r="U32" s="57">
        <f t="shared" si="17"/>
        <v>0</v>
      </c>
      <c r="V32" s="67">
        <f t="shared" si="18"/>
        <v>0</v>
      </c>
      <c r="W32" s="71">
        <f t="shared" si="19"/>
        <v>0</v>
      </c>
      <c r="X32" s="66">
        <f t="shared" si="20"/>
        <v>0</v>
      </c>
      <c r="Y32" s="47">
        <f t="shared" si="9"/>
        <v>0</v>
      </c>
      <c r="Z32" s="65">
        <f t="shared" si="10"/>
        <v>0</v>
      </c>
      <c r="AA32" s="62">
        <f t="shared" si="6"/>
        <v>0</v>
      </c>
      <c r="AB32" s="64">
        <f t="shared" si="7"/>
        <v>0</v>
      </c>
      <c r="AC32" s="63">
        <f t="shared" si="8"/>
        <v>0</v>
      </c>
      <c r="AD32" s="168">
        <f>IFERROR(VLOOKUP(B32,IMPORTE_RESERVA!$A$2:$L$100,11,FALSE),0)</f>
        <v>0</v>
      </c>
      <c r="AE32" s="170">
        <f>IFERROR(VLOOKUP(B32,IMPORTE_RESERVA!$A$2:$L$100,12,FALSE),0)</f>
        <v>0</v>
      </c>
    </row>
    <row r="33" spans="1:31" x14ac:dyDescent="0.35">
      <c r="A33" s="38">
        <v>28</v>
      </c>
      <c r="B33" s="40">
        <v>23480</v>
      </c>
      <c r="C33" s="40">
        <v>9301</v>
      </c>
      <c r="D33" s="40" t="s">
        <v>177</v>
      </c>
      <c r="E33" s="74"/>
      <c r="F33" s="40" t="s">
        <v>36</v>
      </c>
      <c r="G33" s="40">
        <v>55011001802</v>
      </c>
      <c r="H33" s="40" t="s">
        <v>44</v>
      </c>
      <c r="I33" s="41">
        <v>42675</v>
      </c>
      <c r="J33" s="40" t="s">
        <v>80</v>
      </c>
      <c r="K33" s="39">
        <v>1200</v>
      </c>
      <c r="L33" s="48">
        <v>44334</v>
      </c>
      <c r="M33" s="59">
        <v>847</v>
      </c>
      <c r="N33" s="24">
        <f t="shared" si="21"/>
        <v>4023.25</v>
      </c>
      <c r="O33" s="46">
        <f t="shared" si="12"/>
        <v>109349266.95</v>
      </c>
      <c r="P33" s="45">
        <f t="shared" si="13"/>
        <v>847</v>
      </c>
      <c r="Q33" s="61">
        <f t="shared" si="14"/>
        <v>4023.25</v>
      </c>
      <c r="R33" s="46">
        <f t="shared" si="15"/>
        <v>109349266.95</v>
      </c>
      <c r="S33" s="59">
        <v>797</v>
      </c>
      <c r="T33" s="73">
        <f t="shared" si="16"/>
        <v>3785.75</v>
      </c>
      <c r="U33" s="57">
        <f t="shared" si="17"/>
        <v>2532666.75</v>
      </c>
      <c r="V33" s="67">
        <f t="shared" si="18"/>
        <v>50</v>
      </c>
      <c r="W33" s="71">
        <f t="shared" si="19"/>
        <v>237.5</v>
      </c>
      <c r="X33" s="66">
        <f t="shared" si="20"/>
        <v>158887.5</v>
      </c>
      <c r="Y33" s="47">
        <f t="shared" si="9"/>
        <v>0</v>
      </c>
      <c r="Z33" s="65">
        <f t="shared" si="10"/>
        <v>0</v>
      </c>
      <c r="AA33" s="62">
        <f t="shared" si="6"/>
        <v>0</v>
      </c>
      <c r="AB33" s="64">
        <f t="shared" si="7"/>
        <v>0</v>
      </c>
      <c r="AC33" s="63">
        <f t="shared" si="8"/>
        <v>0</v>
      </c>
      <c r="AD33" s="168">
        <f>IFERROR(VLOOKUP(B33,IMPORTE_RESERVA!$A$2:$L$100,11,FALSE),0)</f>
        <v>0</v>
      </c>
      <c r="AE33" s="170">
        <f>IFERROR(VLOOKUP(B33,IMPORTE_RESERVA!$A$2:$L$100,12,FALSE),0)</f>
        <v>0</v>
      </c>
    </row>
    <row r="34" spans="1:31" x14ac:dyDescent="0.35">
      <c r="A34" s="38">
        <v>29</v>
      </c>
      <c r="B34" s="40">
        <v>25563</v>
      </c>
      <c r="C34" s="40">
        <v>9301</v>
      </c>
      <c r="D34" s="40" t="s">
        <v>178</v>
      </c>
      <c r="E34" s="74"/>
      <c r="F34" s="40" t="s">
        <v>36</v>
      </c>
      <c r="G34" s="40">
        <v>76112701516</v>
      </c>
      <c r="H34" s="40" t="s">
        <v>71</v>
      </c>
      <c r="I34" s="41">
        <v>43405</v>
      </c>
      <c r="J34" s="40" t="s">
        <v>80</v>
      </c>
      <c r="K34" s="39">
        <v>950</v>
      </c>
      <c r="L34" s="48">
        <v>44334</v>
      </c>
      <c r="M34" s="59">
        <v>1271</v>
      </c>
      <c r="N34" s="24">
        <f t="shared" si="21"/>
        <v>6037.25</v>
      </c>
      <c r="O34" s="46">
        <f t="shared" si="12"/>
        <v>164088451.34999999</v>
      </c>
      <c r="P34" s="45">
        <f t="shared" si="13"/>
        <v>1271</v>
      </c>
      <c r="Q34" s="61">
        <f t="shared" si="14"/>
        <v>6037.25</v>
      </c>
      <c r="R34" s="46">
        <f t="shared" si="15"/>
        <v>164088451.34999999</v>
      </c>
      <c r="S34" s="59">
        <v>0</v>
      </c>
      <c r="T34" s="73">
        <f t="shared" si="16"/>
        <v>0</v>
      </c>
      <c r="U34" s="57">
        <f t="shared" si="17"/>
        <v>0</v>
      </c>
      <c r="V34" s="67">
        <f t="shared" si="18"/>
        <v>916.21</v>
      </c>
      <c r="W34" s="71">
        <f t="shared" si="19"/>
        <v>4351.9975000000004</v>
      </c>
      <c r="X34" s="66">
        <f t="shared" si="20"/>
        <v>2911486.3275000001</v>
      </c>
      <c r="Y34" s="47">
        <f t="shared" si="9"/>
        <v>1685.2524065769808</v>
      </c>
      <c r="Z34" s="65">
        <f t="shared" si="10"/>
        <v>354.78998033199593</v>
      </c>
      <c r="AA34" s="62">
        <f t="shared" si="6"/>
        <v>1685.2524065769808</v>
      </c>
      <c r="AB34" s="64">
        <f t="shared" si="7"/>
        <v>354.78998033199593</v>
      </c>
      <c r="AC34" s="63">
        <f t="shared" si="8"/>
        <v>0</v>
      </c>
      <c r="AD34" s="168">
        <f>IFERROR(VLOOKUP(B34,IMPORTE_RESERVA!$A$2:$L$100,11,FALSE),0)</f>
        <v>1779.17</v>
      </c>
      <c r="AE34" s="170">
        <f>IFERROR(VLOOKUP(B34,IMPORTE_RESERVA!$A$2:$L$100,12,FALSE),0)</f>
        <v>1127433.8600000001</v>
      </c>
    </row>
    <row r="35" spans="1:31" hidden="1" x14ac:dyDescent="0.35">
      <c r="A35" s="38">
        <v>30</v>
      </c>
      <c r="B35" s="40">
        <v>27635</v>
      </c>
      <c r="C35" s="40">
        <v>9301</v>
      </c>
      <c r="D35" s="138" t="s">
        <v>179</v>
      </c>
      <c r="E35" s="74"/>
      <c r="F35" s="40" t="s">
        <v>36</v>
      </c>
      <c r="G35" s="40">
        <v>58122504887</v>
      </c>
      <c r="H35" s="40" t="s">
        <v>180</v>
      </c>
      <c r="I35" s="41">
        <v>44232</v>
      </c>
      <c r="J35" s="40" t="s">
        <v>46</v>
      </c>
      <c r="K35" s="39">
        <v>660</v>
      </c>
      <c r="L35" s="48"/>
      <c r="M35" s="59">
        <v>0</v>
      </c>
      <c r="N35" s="24">
        <f t="shared" si="21"/>
        <v>0</v>
      </c>
      <c r="O35" s="46">
        <f t="shared" si="12"/>
        <v>0</v>
      </c>
      <c r="P35" s="45">
        <f t="shared" si="13"/>
        <v>0</v>
      </c>
      <c r="Q35" s="61">
        <f t="shared" si="14"/>
        <v>0</v>
      </c>
      <c r="R35" s="46">
        <f t="shared" si="15"/>
        <v>0</v>
      </c>
      <c r="S35" s="59">
        <v>0</v>
      </c>
      <c r="T35" s="73">
        <f t="shared" si="16"/>
        <v>0</v>
      </c>
      <c r="U35" s="57">
        <f t="shared" si="17"/>
        <v>0</v>
      </c>
      <c r="V35" s="67">
        <f t="shared" si="18"/>
        <v>0</v>
      </c>
      <c r="W35" s="71">
        <f t="shared" si="19"/>
        <v>0</v>
      </c>
      <c r="X35" s="66">
        <f t="shared" si="20"/>
        <v>0</v>
      </c>
      <c r="Y35" s="47">
        <f t="shared" si="9"/>
        <v>0</v>
      </c>
      <c r="Z35" s="65">
        <f t="shared" si="10"/>
        <v>0</v>
      </c>
      <c r="AA35" s="62">
        <f t="shared" si="6"/>
        <v>0</v>
      </c>
      <c r="AB35" s="64">
        <f t="shared" si="7"/>
        <v>0</v>
      </c>
      <c r="AC35" s="63">
        <f t="shared" si="8"/>
        <v>0</v>
      </c>
      <c r="AD35" s="168">
        <f>IFERROR(VLOOKUP(B35,IMPORTE_RESERVA!$A$2:$L$100,11,FALSE),0)</f>
        <v>0</v>
      </c>
      <c r="AE35" s="170">
        <f>IFERROR(VLOOKUP(B35,IMPORTE_RESERVA!$A$2:$L$100,12,FALSE),0)</f>
        <v>0</v>
      </c>
    </row>
    <row r="36" spans="1:31" x14ac:dyDescent="0.35">
      <c r="A36" s="38">
        <v>31</v>
      </c>
      <c r="B36" s="40">
        <v>25787</v>
      </c>
      <c r="C36" s="40">
        <v>9301</v>
      </c>
      <c r="D36" s="40" t="s">
        <v>181</v>
      </c>
      <c r="E36" s="74"/>
      <c r="F36" s="40" t="s">
        <v>36</v>
      </c>
      <c r="G36" s="40">
        <v>74093005075</v>
      </c>
      <c r="H36" s="40" t="s">
        <v>182</v>
      </c>
      <c r="I36" s="41">
        <v>43494</v>
      </c>
      <c r="J36" s="40" t="s">
        <v>80</v>
      </c>
      <c r="K36" s="39">
        <v>1200</v>
      </c>
      <c r="L36" s="48">
        <v>44334</v>
      </c>
      <c r="M36" s="59">
        <v>451</v>
      </c>
      <c r="N36" s="24">
        <f t="shared" si="21"/>
        <v>2142.25</v>
      </c>
      <c r="O36" s="46">
        <f t="shared" si="12"/>
        <v>58224934.350000001</v>
      </c>
      <c r="P36" s="45">
        <f t="shared" si="13"/>
        <v>451</v>
      </c>
      <c r="Q36" s="61">
        <f t="shared" si="14"/>
        <v>2142.25</v>
      </c>
      <c r="R36" s="46">
        <f t="shared" si="15"/>
        <v>58224934.350000001</v>
      </c>
      <c r="S36" s="59">
        <v>0</v>
      </c>
      <c r="T36" s="73">
        <f t="shared" si="16"/>
        <v>0</v>
      </c>
      <c r="U36" s="57">
        <f t="shared" si="17"/>
        <v>0</v>
      </c>
      <c r="V36" s="67">
        <f t="shared" si="18"/>
        <v>0</v>
      </c>
      <c r="W36" s="71">
        <f t="shared" si="19"/>
        <v>0</v>
      </c>
      <c r="X36" s="66">
        <f t="shared" si="20"/>
        <v>0</v>
      </c>
      <c r="Y36" s="47">
        <f t="shared" si="9"/>
        <v>2359.8206278026905</v>
      </c>
      <c r="Z36" s="65">
        <f t="shared" si="10"/>
        <v>496.80434269530326</v>
      </c>
      <c r="AA36" s="62">
        <f t="shared" si="6"/>
        <v>2142.25</v>
      </c>
      <c r="AB36" s="64">
        <f t="shared" si="7"/>
        <v>451</v>
      </c>
      <c r="AC36" s="63">
        <f t="shared" si="8"/>
        <v>217.57062780269052</v>
      </c>
      <c r="AD36" s="168">
        <f>IFERROR(VLOOKUP(B36,IMPORTE_RESERVA!$A$2:$L$100,11,FALSE),0)</f>
        <v>2490</v>
      </c>
      <c r="AE36" s="170">
        <f>IFERROR(VLOOKUP(B36,IMPORTE_RESERVA!$A$2:$L$100,12,FALSE),0)</f>
        <v>1578720</v>
      </c>
    </row>
    <row r="37" spans="1:31" x14ac:dyDescent="0.35">
      <c r="A37" s="38">
        <v>32</v>
      </c>
      <c r="B37" s="40">
        <v>23808</v>
      </c>
      <c r="C37" s="40">
        <v>9301</v>
      </c>
      <c r="D37" s="40" t="s">
        <v>183</v>
      </c>
      <c r="E37" s="74"/>
      <c r="F37" s="40" t="s">
        <v>36</v>
      </c>
      <c r="G37" s="40">
        <v>81120200276</v>
      </c>
      <c r="H37" s="40" t="s">
        <v>184</v>
      </c>
      <c r="I37" s="41">
        <v>42767</v>
      </c>
      <c r="J37" s="40" t="s">
        <v>185</v>
      </c>
      <c r="K37" s="39">
        <v>1200</v>
      </c>
      <c r="L37" s="48">
        <v>44334</v>
      </c>
      <c r="M37" s="59">
        <v>1325</v>
      </c>
      <c r="N37" s="24">
        <f t="shared" si="21"/>
        <v>6293.75</v>
      </c>
      <c r="O37" s="46">
        <f t="shared" si="12"/>
        <v>171059951.25</v>
      </c>
      <c r="P37" s="45">
        <f t="shared" si="13"/>
        <v>1325</v>
      </c>
      <c r="Q37" s="61">
        <f t="shared" si="14"/>
        <v>6293.75</v>
      </c>
      <c r="R37" s="46">
        <f t="shared" si="15"/>
        <v>171059951.25</v>
      </c>
      <c r="S37" s="59">
        <v>757.34</v>
      </c>
      <c r="T37" s="73">
        <f t="shared" si="16"/>
        <v>3597.3650000000002</v>
      </c>
      <c r="U37" s="57">
        <f t="shared" si="17"/>
        <v>2406637.1850000001</v>
      </c>
      <c r="V37" s="67">
        <f t="shared" si="18"/>
        <v>68.88</v>
      </c>
      <c r="W37" s="71">
        <f t="shared" si="19"/>
        <v>327.17999999999995</v>
      </c>
      <c r="X37" s="66">
        <f t="shared" si="20"/>
        <v>218883.41999999995</v>
      </c>
      <c r="Y37" s="47">
        <f t="shared" si="9"/>
        <v>2369.2077727952169</v>
      </c>
      <c r="Z37" s="65">
        <f t="shared" si="10"/>
        <v>498.78058374636146</v>
      </c>
      <c r="AA37" s="62">
        <f t="shared" si="6"/>
        <v>2369.2077727952169</v>
      </c>
      <c r="AB37" s="64">
        <f t="shared" si="7"/>
        <v>498.78058374636146</v>
      </c>
      <c r="AC37" s="63">
        <f t="shared" si="8"/>
        <v>0</v>
      </c>
      <c r="AD37" s="168">
        <f>IFERROR(VLOOKUP(B37,IMPORTE_RESERVA!$A$2:$L$100,11,FALSE),0)</f>
        <v>2500</v>
      </c>
      <c r="AE37" s="170">
        <f>IFERROR(VLOOKUP(B37,IMPORTE_RESERVA!$A$2:$L$100,12,FALSE),0)</f>
        <v>1585000</v>
      </c>
    </row>
    <row r="38" spans="1:31" x14ac:dyDescent="0.35">
      <c r="A38" s="38">
        <v>33</v>
      </c>
      <c r="B38" s="40">
        <v>25432</v>
      </c>
      <c r="C38" s="40">
        <v>9301</v>
      </c>
      <c r="D38" s="40" t="s">
        <v>186</v>
      </c>
      <c r="E38" s="74"/>
      <c r="F38" s="40" t="s">
        <v>36</v>
      </c>
      <c r="G38" s="40">
        <v>66011601552</v>
      </c>
      <c r="H38" s="40" t="s">
        <v>187</v>
      </c>
      <c r="I38" s="41">
        <v>43551</v>
      </c>
      <c r="J38" s="40" t="s">
        <v>38</v>
      </c>
      <c r="K38" s="39">
        <v>950</v>
      </c>
      <c r="L38" s="48">
        <v>44336</v>
      </c>
      <c r="M38" s="59">
        <v>658</v>
      </c>
      <c r="N38" s="24">
        <f t="shared" si="21"/>
        <v>3125.5</v>
      </c>
      <c r="O38" s="46">
        <f t="shared" si="12"/>
        <v>84949017.299999997</v>
      </c>
      <c r="P38" s="45">
        <f t="shared" si="13"/>
        <v>658</v>
      </c>
      <c r="Q38" s="61">
        <f t="shared" si="14"/>
        <v>3125.5</v>
      </c>
      <c r="R38" s="46">
        <f t="shared" si="15"/>
        <v>84949017.299999997</v>
      </c>
      <c r="S38" s="59">
        <v>36.4</v>
      </c>
      <c r="T38" s="73">
        <f t="shared" si="16"/>
        <v>172.9</v>
      </c>
      <c r="U38" s="57">
        <f t="shared" si="17"/>
        <v>115670.1</v>
      </c>
      <c r="V38" s="67">
        <f t="shared" si="18"/>
        <v>409.3</v>
      </c>
      <c r="W38" s="71">
        <f t="shared" si="19"/>
        <v>1944.175</v>
      </c>
      <c r="X38" s="66">
        <f t="shared" si="20"/>
        <v>1300653.075</v>
      </c>
      <c r="Y38" s="47">
        <f t="shared" si="9"/>
        <v>1008.4392526158446</v>
      </c>
      <c r="Z38" s="65">
        <f t="shared" si="10"/>
        <v>212.30300055070413</v>
      </c>
      <c r="AA38" s="62">
        <f t="shared" si="6"/>
        <v>1008.4392526158446</v>
      </c>
      <c r="AB38" s="64">
        <f t="shared" si="7"/>
        <v>212.30300055070413</v>
      </c>
      <c r="AC38" s="63">
        <f t="shared" si="8"/>
        <v>0</v>
      </c>
      <c r="AD38" s="168">
        <f>IFERROR(VLOOKUP(B38,IMPORTE_RESERVA!$A$2:$L$100,11,FALSE),0)</f>
        <v>1058.17</v>
      </c>
      <c r="AE38" s="170">
        <f>IFERROR(VLOOKUP(B38,IMPORTE_RESERVA!$A$2:$L$100,12,FALSE),0)</f>
        <v>674645.86</v>
      </c>
    </row>
    <row r="39" spans="1:31" x14ac:dyDescent="0.35">
      <c r="A39" s="38">
        <v>34</v>
      </c>
      <c r="B39" s="40">
        <v>24827</v>
      </c>
      <c r="C39" s="40">
        <v>9301</v>
      </c>
      <c r="D39" s="40" t="s">
        <v>188</v>
      </c>
      <c r="E39" s="74"/>
      <c r="F39" s="40" t="s">
        <v>36</v>
      </c>
      <c r="G39" s="40">
        <v>67060800966</v>
      </c>
      <c r="H39" s="40" t="s">
        <v>34</v>
      </c>
      <c r="I39" s="41">
        <v>43132</v>
      </c>
      <c r="J39" s="40" t="s">
        <v>80</v>
      </c>
      <c r="K39" s="39">
        <v>1200</v>
      </c>
      <c r="L39" s="48">
        <v>44334</v>
      </c>
      <c r="M39" s="59">
        <v>77</v>
      </c>
      <c r="N39" s="24">
        <f t="shared" si="21"/>
        <v>365.75</v>
      </c>
      <c r="O39" s="46">
        <f t="shared" si="12"/>
        <v>9940842.4500000011</v>
      </c>
      <c r="P39" s="45">
        <f t="shared" si="13"/>
        <v>77</v>
      </c>
      <c r="Q39" s="61">
        <f t="shared" si="14"/>
        <v>365.75</v>
      </c>
      <c r="R39" s="46">
        <f t="shared" si="15"/>
        <v>9940842.4500000011</v>
      </c>
      <c r="S39" s="59">
        <v>27</v>
      </c>
      <c r="T39" s="73">
        <f t="shared" si="16"/>
        <v>128.25</v>
      </c>
      <c r="U39" s="57">
        <f t="shared" si="17"/>
        <v>85799.25</v>
      </c>
      <c r="V39" s="67">
        <f t="shared" si="18"/>
        <v>50</v>
      </c>
      <c r="W39" s="71">
        <f t="shared" si="19"/>
        <v>237.5</v>
      </c>
      <c r="X39" s="66">
        <f t="shared" si="20"/>
        <v>158887.5</v>
      </c>
      <c r="Y39" s="47">
        <f t="shared" si="9"/>
        <v>0</v>
      </c>
      <c r="Z39" s="65">
        <f t="shared" si="10"/>
        <v>0</v>
      </c>
      <c r="AA39" s="62">
        <f t="shared" si="6"/>
        <v>0</v>
      </c>
      <c r="AB39" s="64">
        <f t="shared" si="7"/>
        <v>0</v>
      </c>
      <c r="AC39" s="63">
        <f t="shared" si="8"/>
        <v>0</v>
      </c>
      <c r="AD39" s="168">
        <f>IFERROR(VLOOKUP(B39,IMPORTE_RESERVA!$A$2:$L$100,11,FALSE),0)</f>
        <v>0</v>
      </c>
      <c r="AE39" s="170">
        <f>IFERROR(VLOOKUP(B39,IMPORTE_RESERVA!$A$2:$L$100,12,FALSE),0)</f>
        <v>0</v>
      </c>
    </row>
    <row r="40" spans="1:31" hidden="1" x14ac:dyDescent="0.35">
      <c r="A40" s="38">
        <v>35</v>
      </c>
      <c r="B40" s="40">
        <v>26581</v>
      </c>
      <c r="C40" s="40">
        <v>9301</v>
      </c>
      <c r="D40" s="138" t="s">
        <v>189</v>
      </c>
      <c r="E40" s="74"/>
      <c r="F40" s="40" t="s">
        <v>64</v>
      </c>
      <c r="G40" s="40">
        <v>71031819673</v>
      </c>
      <c r="H40" s="40" t="s">
        <v>82</v>
      </c>
      <c r="I40" s="41">
        <v>25569</v>
      </c>
      <c r="J40" s="40" t="s">
        <v>80</v>
      </c>
      <c r="K40" s="39">
        <v>1200</v>
      </c>
      <c r="L40" s="48"/>
      <c r="M40" s="59">
        <v>0</v>
      </c>
      <c r="N40" s="24">
        <f t="shared" si="21"/>
        <v>0</v>
      </c>
      <c r="O40" s="46">
        <f t="shared" si="12"/>
        <v>0</v>
      </c>
      <c r="P40" s="45">
        <f t="shared" si="13"/>
        <v>0</v>
      </c>
      <c r="Q40" s="61">
        <f t="shared" si="14"/>
        <v>0</v>
      </c>
      <c r="R40" s="46">
        <f t="shared" si="15"/>
        <v>0</v>
      </c>
      <c r="S40" s="59">
        <v>0</v>
      </c>
      <c r="T40" s="73">
        <f t="shared" si="16"/>
        <v>0</v>
      </c>
      <c r="U40" s="57">
        <f t="shared" si="17"/>
        <v>0</v>
      </c>
      <c r="V40" s="67">
        <f t="shared" si="18"/>
        <v>0</v>
      </c>
      <c r="W40" s="71">
        <f t="shared" si="19"/>
        <v>0</v>
      </c>
      <c r="X40" s="66">
        <f t="shared" si="20"/>
        <v>0</v>
      </c>
      <c r="Y40" s="47">
        <f t="shared" si="9"/>
        <v>0</v>
      </c>
      <c r="Z40" s="65">
        <f t="shared" si="10"/>
        <v>0</v>
      </c>
      <c r="AA40" s="62">
        <f t="shared" si="6"/>
        <v>0</v>
      </c>
      <c r="AB40" s="64">
        <f t="shared" si="7"/>
        <v>0</v>
      </c>
      <c r="AC40" s="63">
        <f t="shared" si="8"/>
        <v>0</v>
      </c>
      <c r="AD40" s="168">
        <f>IFERROR(VLOOKUP(B40,IMPORTE_RESERVA!$A$2:$L$100,11,FALSE),0)</f>
        <v>0</v>
      </c>
      <c r="AE40" s="170">
        <f>IFERROR(VLOOKUP(B40,IMPORTE_RESERVA!$A$2:$L$100,12,FALSE),0)</f>
        <v>0</v>
      </c>
    </row>
    <row r="41" spans="1:31" s="77" customFormat="1" x14ac:dyDescent="0.35">
      <c r="A41" s="75">
        <v>36</v>
      </c>
      <c r="B41" s="40">
        <v>26090</v>
      </c>
      <c r="C41" s="40">
        <v>9301</v>
      </c>
      <c r="D41" s="40" t="s">
        <v>230</v>
      </c>
      <c r="E41" s="74"/>
      <c r="F41" s="40" t="s">
        <v>35</v>
      </c>
      <c r="G41" s="40">
        <v>72042200755</v>
      </c>
      <c r="H41" s="40" t="s">
        <v>231</v>
      </c>
      <c r="I41" s="41">
        <v>43524</v>
      </c>
      <c r="J41" s="40" t="s">
        <v>70</v>
      </c>
      <c r="K41" s="39">
        <v>600</v>
      </c>
      <c r="L41" s="48">
        <v>44336</v>
      </c>
      <c r="M41" s="59">
        <v>148</v>
      </c>
      <c r="N41" s="24">
        <f t="shared" si="21"/>
        <v>703</v>
      </c>
      <c r="O41" s="46">
        <f t="shared" si="12"/>
        <v>19107073.800000001</v>
      </c>
      <c r="P41" s="45">
        <f t="shared" si="13"/>
        <v>148</v>
      </c>
      <c r="Q41" s="61">
        <f t="shared" si="14"/>
        <v>703</v>
      </c>
      <c r="R41" s="46">
        <f t="shared" si="15"/>
        <v>19107073.800000001</v>
      </c>
      <c r="S41" s="59">
        <v>98</v>
      </c>
      <c r="T41" s="73">
        <f t="shared" si="16"/>
        <v>465.5</v>
      </c>
      <c r="U41" s="57">
        <f t="shared" si="17"/>
        <v>311419.5</v>
      </c>
      <c r="V41" s="67">
        <f t="shared" si="18"/>
        <v>50</v>
      </c>
      <c r="W41" s="71">
        <f t="shared" si="19"/>
        <v>237.5</v>
      </c>
      <c r="X41" s="66">
        <f t="shared" si="20"/>
        <v>158887.5</v>
      </c>
      <c r="Y41" s="47">
        <f t="shared" si="9"/>
        <v>0</v>
      </c>
      <c r="Z41" s="65">
        <f t="shared" si="10"/>
        <v>0</v>
      </c>
      <c r="AA41" s="62">
        <f t="shared" si="6"/>
        <v>0</v>
      </c>
      <c r="AB41" s="64">
        <f t="shared" si="7"/>
        <v>0</v>
      </c>
      <c r="AC41" s="63">
        <f t="shared" si="8"/>
        <v>0</v>
      </c>
      <c r="AD41" s="168">
        <f>IFERROR(VLOOKUP(B41,IMPORTE_RESERVA!$A$2:$L$100,11,FALSE),0)</f>
        <v>0</v>
      </c>
      <c r="AE41" s="170">
        <f>IFERROR(VLOOKUP(B41,IMPORTE_RESERVA!$A$2:$L$100,12,FALSE),0)</f>
        <v>0</v>
      </c>
    </row>
    <row r="42" spans="1:31" s="77" customFormat="1" x14ac:dyDescent="0.35">
      <c r="A42" s="75">
        <v>37</v>
      </c>
      <c r="B42" s="40">
        <v>25646</v>
      </c>
      <c r="C42" s="40">
        <v>9301</v>
      </c>
      <c r="D42" s="40" t="s">
        <v>190</v>
      </c>
      <c r="E42" s="74"/>
      <c r="F42" s="40" t="s">
        <v>36</v>
      </c>
      <c r="G42" s="40">
        <v>68091210850</v>
      </c>
      <c r="H42" s="40" t="s">
        <v>42</v>
      </c>
      <c r="I42" s="41">
        <v>43405</v>
      </c>
      <c r="J42" s="40" t="s">
        <v>38</v>
      </c>
      <c r="K42" s="39">
        <v>950</v>
      </c>
      <c r="L42" s="48">
        <v>44336</v>
      </c>
      <c r="M42" s="59">
        <v>611</v>
      </c>
      <c r="N42" s="24">
        <f t="shared" si="21"/>
        <v>2902.25</v>
      </c>
      <c r="O42" s="46">
        <f t="shared" si="12"/>
        <v>78881230.350000009</v>
      </c>
      <c r="P42" s="45">
        <f t="shared" si="13"/>
        <v>611</v>
      </c>
      <c r="Q42" s="61">
        <f t="shared" si="14"/>
        <v>2902.25</v>
      </c>
      <c r="R42" s="46">
        <f t="shared" si="15"/>
        <v>78881230.350000009</v>
      </c>
      <c r="S42" s="59">
        <v>33</v>
      </c>
      <c r="T42" s="73">
        <f t="shared" si="16"/>
        <v>156.75</v>
      </c>
      <c r="U42" s="57">
        <f t="shared" si="17"/>
        <v>104865.75</v>
      </c>
      <c r="V42" s="67">
        <f t="shared" si="18"/>
        <v>261.10000000000002</v>
      </c>
      <c r="W42" s="71">
        <f t="shared" si="19"/>
        <v>1240.2250000000001</v>
      </c>
      <c r="X42" s="66">
        <f t="shared" si="20"/>
        <v>829710.52500000014</v>
      </c>
      <c r="Y42" s="47">
        <f t="shared" si="9"/>
        <v>1505.2795216741406</v>
      </c>
      <c r="Z42" s="65">
        <f t="shared" si="10"/>
        <v>316.90095193139803</v>
      </c>
      <c r="AA42" s="62">
        <f t="shared" si="6"/>
        <v>1505.2795216741406</v>
      </c>
      <c r="AB42" s="64">
        <f t="shared" si="7"/>
        <v>316.90095193139803</v>
      </c>
      <c r="AC42" s="63">
        <f t="shared" si="8"/>
        <v>0</v>
      </c>
      <c r="AD42" s="168">
        <f>IFERROR(VLOOKUP(B42,IMPORTE_RESERVA!$A$2:$L$100,11,FALSE),0)</f>
        <v>1594</v>
      </c>
      <c r="AE42" s="170">
        <f>IFERROR(VLOOKUP(B42,IMPORTE_RESERVA!$A$2:$L$100,12,FALSE),0)</f>
        <v>1007032</v>
      </c>
    </row>
    <row r="43" spans="1:31" s="77" customFormat="1" x14ac:dyDescent="0.35">
      <c r="A43" s="75">
        <v>38</v>
      </c>
      <c r="B43" s="40">
        <v>23215</v>
      </c>
      <c r="C43" s="40">
        <v>9301</v>
      </c>
      <c r="D43" s="40" t="s">
        <v>191</v>
      </c>
      <c r="E43" s="74"/>
      <c r="F43" s="40" t="s">
        <v>36</v>
      </c>
      <c r="G43" s="40">
        <v>82122115612</v>
      </c>
      <c r="H43" s="40" t="s">
        <v>41</v>
      </c>
      <c r="I43" s="41">
        <v>42587</v>
      </c>
      <c r="J43" s="40" t="s">
        <v>38</v>
      </c>
      <c r="K43" s="39">
        <v>1200</v>
      </c>
      <c r="L43" s="48">
        <v>44334</v>
      </c>
      <c r="M43" s="59">
        <v>491</v>
      </c>
      <c r="N43" s="24">
        <f t="shared" si="21"/>
        <v>2332.25</v>
      </c>
      <c r="O43" s="46">
        <f t="shared" si="12"/>
        <v>63389008.350000001</v>
      </c>
      <c r="P43" s="45">
        <f t="shared" si="13"/>
        <v>491</v>
      </c>
      <c r="Q43" s="61">
        <f t="shared" si="14"/>
        <v>2332.25</v>
      </c>
      <c r="R43" s="46">
        <f t="shared" si="15"/>
        <v>63389008.350000001</v>
      </c>
      <c r="S43" s="59">
        <v>0</v>
      </c>
      <c r="T43" s="73">
        <f t="shared" si="16"/>
        <v>0</v>
      </c>
      <c r="U43" s="57">
        <f t="shared" si="17"/>
        <v>0</v>
      </c>
      <c r="V43" s="67">
        <f t="shared" si="18"/>
        <v>0</v>
      </c>
      <c r="W43" s="71">
        <f t="shared" si="19"/>
        <v>0</v>
      </c>
      <c r="X43" s="66">
        <f t="shared" si="20"/>
        <v>0</v>
      </c>
      <c r="Y43" s="47">
        <f t="shared" si="9"/>
        <v>2369.2077727952169</v>
      </c>
      <c r="Z43" s="65">
        <f t="shared" si="10"/>
        <v>498.78058374636146</v>
      </c>
      <c r="AA43" s="62">
        <f t="shared" si="6"/>
        <v>2332.25</v>
      </c>
      <c r="AB43" s="64">
        <f t="shared" si="7"/>
        <v>491</v>
      </c>
      <c r="AC43" s="63">
        <f t="shared" si="8"/>
        <v>36.957772795216897</v>
      </c>
      <c r="AD43" s="168">
        <f>IFERROR(VLOOKUP(B43,IMPORTE_RESERVA!$A$2:$L$100,11,FALSE),0)</f>
        <v>2500</v>
      </c>
      <c r="AE43" s="170">
        <f>IFERROR(VLOOKUP(B43,IMPORTE_RESERVA!$A$2:$L$100,12,FALSE),0)</f>
        <v>1585000</v>
      </c>
    </row>
    <row r="44" spans="1:31" s="77" customFormat="1" x14ac:dyDescent="0.35">
      <c r="A44" s="75">
        <v>39</v>
      </c>
      <c r="B44" s="40">
        <v>23884</v>
      </c>
      <c r="C44" s="40">
        <v>9301</v>
      </c>
      <c r="D44" s="40" t="s">
        <v>192</v>
      </c>
      <c r="E44" s="74"/>
      <c r="F44" s="40" t="s">
        <v>36</v>
      </c>
      <c r="G44" s="40">
        <v>62081114642</v>
      </c>
      <c r="H44" s="40" t="s">
        <v>39</v>
      </c>
      <c r="I44" s="41">
        <v>42948</v>
      </c>
      <c r="J44" s="40" t="s">
        <v>80</v>
      </c>
      <c r="K44" s="39">
        <v>1200</v>
      </c>
      <c r="L44" s="76">
        <v>44336</v>
      </c>
      <c r="M44" s="59">
        <v>573</v>
      </c>
      <c r="N44" s="24">
        <f t="shared" si="21"/>
        <v>2721.75</v>
      </c>
      <c r="O44" s="46">
        <f t="shared" si="12"/>
        <v>73975360.049999997</v>
      </c>
      <c r="P44" s="45">
        <f t="shared" si="13"/>
        <v>573</v>
      </c>
      <c r="Q44" s="61">
        <f t="shared" si="14"/>
        <v>2721.75</v>
      </c>
      <c r="R44" s="46">
        <f t="shared" si="15"/>
        <v>73975360.049999997</v>
      </c>
      <c r="S44" s="59">
        <v>5.3400000000000318</v>
      </c>
      <c r="T44" s="73">
        <f t="shared" si="16"/>
        <v>25.365000000000151</v>
      </c>
      <c r="U44" s="57">
        <f t="shared" si="17"/>
        <v>16969.1850000001</v>
      </c>
      <c r="V44" s="67">
        <f t="shared" si="18"/>
        <v>68.88</v>
      </c>
      <c r="W44" s="71">
        <f t="shared" si="19"/>
        <v>327.17999999999995</v>
      </c>
      <c r="X44" s="66">
        <f t="shared" si="20"/>
        <v>218883.41999999995</v>
      </c>
      <c r="Y44" s="47">
        <f t="shared" si="9"/>
        <v>2369.2077727952169</v>
      </c>
      <c r="Z44" s="65">
        <f t="shared" si="10"/>
        <v>498.78058374636146</v>
      </c>
      <c r="AA44" s="62">
        <f t="shared" si="6"/>
        <v>2369.2077727952169</v>
      </c>
      <c r="AB44" s="64">
        <f t="shared" si="7"/>
        <v>498.78058374636146</v>
      </c>
      <c r="AC44" s="63">
        <f t="shared" si="8"/>
        <v>0</v>
      </c>
      <c r="AD44" s="168">
        <f>IFERROR(VLOOKUP(B44,IMPORTE_RESERVA!$A$2:$L$100,11,FALSE),0)</f>
        <v>2500</v>
      </c>
      <c r="AE44" s="170">
        <f>IFERROR(VLOOKUP(B44,IMPORTE_RESERVA!$A$2:$L$100,12,FALSE),0)</f>
        <v>1585000</v>
      </c>
    </row>
    <row r="45" spans="1:31" s="77" customFormat="1" x14ac:dyDescent="0.35">
      <c r="A45" s="75">
        <v>40</v>
      </c>
      <c r="B45" s="40">
        <v>24374</v>
      </c>
      <c r="C45" s="40">
        <v>9301</v>
      </c>
      <c r="D45" s="40" t="s">
        <v>193</v>
      </c>
      <c r="E45" s="74"/>
      <c r="F45" s="40" t="s">
        <v>36</v>
      </c>
      <c r="G45" s="40">
        <v>78110631852</v>
      </c>
      <c r="H45" s="40" t="s">
        <v>194</v>
      </c>
      <c r="I45" s="41">
        <v>42887</v>
      </c>
      <c r="J45" s="40" t="s">
        <v>80</v>
      </c>
      <c r="K45" s="39">
        <v>1200</v>
      </c>
      <c r="L45" s="48">
        <v>44334</v>
      </c>
      <c r="M45" s="59">
        <v>534</v>
      </c>
      <c r="N45" s="24">
        <f t="shared" si="21"/>
        <v>2536.5</v>
      </c>
      <c r="O45" s="46">
        <f t="shared" si="12"/>
        <v>68940387.900000006</v>
      </c>
      <c r="P45" s="45">
        <f t="shared" si="13"/>
        <v>534</v>
      </c>
      <c r="Q45" s="61">
        <f t="shared" si="14"/>
        <v>2536.5</v>
      </c>
      <c r="R45" s="46">
        <f t="shared" si="15"/>
        <v>68940387.900000006</v>
      </c>
      <c r="S45" s="59">
        <v>0</v>
      </c>
      <c r="T45" s="73">
        <f t="shared" si="16"/>
        <v>0</v>
      </c>
      <c r="U45" s="57">
        <f t="shared" si="17"/>
        <v>0</v>
      </c>
      <c r="V45" s="67">
        <f t="shared" si="18"/>
        <v>56.170000000000016</v>
      </c>
      <c r="W45" s="71">
        <f t="shared" si="19"/>
        <v>266.80750000000006</v>
      </c>
      <c r="X45" s="66">
        <f t="shared" si="20"/>
        <v>178494.21750000003</v>
      </c>
      <c r="Y45" s="47">
        <f t="shared" si="9"/>
        <v>2269.7040358744393</v>
      </c>
      <c r="Z45" s="65">
        <f t="shared" si="10"/>
        <v>477.83242860514514</v>
      </c>
      <c r="AA45" s="62">
        <f t="shared" si="6"/>
        <v>2269.7040358744393</v>
      </c>
      <c r="AB45" s="64">
        <f t="shared" si="7"/>
        <v>477.83242860514514</v>
      </c>
      <c r="AC45" s="63">
        <f t="shared" si="8"/>
        <v>0</v>
      </c>
      <c r="AD45" s="168">
        <f>IFERROR(VLOOKUP(B45,IMPORTE_RESERVA!$A$2:$L$100,11,FALSE),0)</f>
        <v>2394</v>
      </c>
      <c r="AE45" s="170">
        <f>IFERROR(VLOOKUP(B45,IMPORTE_RESERVA!$A$2:$L$100,12,FALSE),0)</f>
        <v>1518432</v>
      </c>
    </row>
    <row r="46" spans="1:31" s="77" customFormat="1" x14ac:dyDescent="0.35">
      <c r="A46" s="75">
        <v>41</v>
      </c>
      <c r="B46" s="40">
        <v>26076</v>
      </c>
      <c r="C46" s="40">
        <v>9301</v>
      </c>
      <c r="D46" s="40" t="s">
        <v>195</v>
      </c>
      <c r="E46" s="74"/>
      <c r="F46" s="40" t="s">
        <v>36</v>
      </c>
      <c r="G46" s="40">
        <v>63110109713</v>
      </c>
      <c r="H46" s="40" t="s">
        <v>196</v>
      </c>
      <c r="I46" s="41">
        <v>43571</v>
      </c>
      <c r="J46" s="40" t="s">
        <v>43</v>
      </c>
      <c r="K46" s="39">
        <v>1200</v>
      </c>
      <c r="L46" s="48">
        <v>44334</v>
      </c>
      <c r="M46" s="59">
        <v>857</v>
      </c>
      <c r="N46" s="24">
        <f t="shared" si="21"/>
        <v>4070.75</v>
      </c>
      <c r="O46" s="46">
        <f t="shared" si="12"/>
        <v>110640285.45</v>
      </c>
      <c r="P46" s="45">
        <f t="shared" si="13"/>
        <v>857</v>
      </c>
      <c r="Q46" s="61">
        <f t="shared" si="14"/>
        <v>4070.75</v>
      </c>
      <c r="R46" s="46">
        <f t="shared" si="15"/>
        <v>110640285.45</v>
      </c>
      <c r="S46" s="59">
        <v>807</v>
      </c>
      <c r="T46" s="73">
        <f t="shared" si="16"/>
        <v>3833.25</v>
      </c>
      <c r="U46" s="57">
        <f t="shared" si="17"/>
        <v>2564444.25</v>
      </c>
      <c r="V46" s="67">
        <f t="shared" si="18"/>
        <v>50</v>
      </c>
      <c r="W46" s="71">
        <f t="shared" si="19"/>
        <v>237.5</v>
      </c>
      <c r="X46" s="66">
        <f t="shared" si="20"/>
        <v>158887.5</v>
      </c>
      <c r="Y46" s="47">
        <f t="shared" si="9"/>
        <v>0</v>
      </c>
      <c r="Z46" s="65">
        <f t="shared" si="10"/>
        <v>0</v>
      </c>
      <c r="AA46" s="62">
        <f t="shared" si="6"/>
        <v>0</v>
      </c>
      <c r="AB46" s="64">
        <f t="shared" si="7"/>
        <v>0</v>
      </c>
      <c r="AC46" s="63">
        <f t="shared" si="8"/>
        <v>0</v>
      </c>
      <c r="AD46" s="168">
        <f>IFERROR(VLOOKUP(B46,IMPORTE_RESERVA!$A$2:$L$100,11,FALSE),0)</f>
        <v>0</v>
      </c>
      <c r="AE46" s="170">
        <f>IFERROR(VLOOKUP(B46,IMPORTE_RESERVA!$A$2:$L$100,12,FALSE),0)</f>
        <v>0</v>
      </c>
    </row>
    <row r="47" spans="1:31" s="77" customFormat="1" x14ac:dyDescent="0.35">
      <c r="A47" s="75">
        <v>42</v>
      </c>
      <c r="B47" s="40">
        <v>24353</v>
      </c>
      <c r="C47" s="40">
        <v>9301</v>
      </c>
      <c r="D47" s="40" t="s">
        <v>197</v>
      </c>
      <c r="E47" s="74"/>
      <c r="F47" s="40" t="s">
        <v>36</v>
      </c>
      <c r="G47" s="40">
        <v>66012312261</v>
      </c>
      <c r="H47" s="40" t="s">
        <v>182</v>
      </c>
      <c r="I47" s="41">
        <v>42887</v>
      </c>
      <c r="J47" s="40" t="s">
        <v>80</v>
      </c>
      <c r="K47" s="39">
        <v>1200</v>
      </c>
      <c r="L47" s="48">
        <v>44336</v>
      </c>
      <c r="M47" s="59">
        <v>815</v>
      </c>
      <c r="N47" s="24">
        <f t="shared" si="21"/>
        <v>3871.25</v>
      </c>
      <c r="O47" s="46">
        <f t="shared" si="12"/>
        <v>105218007.75</v>
      </c>
      <c r="P47" s="45">
        <f t="shared" si="13"/>
        <v>815</v>
      </c>
      <c r="Q47" s="61">
        <f t="shared" si="14"/>
        <v>3871.25</v>
      </c>
      <c r="R47" s="46">
        <f t="shared" si="15"/>
        <v>105218007.75</v>
      </c>
      <c r="S47" s="59">
        <v>247.34000000000003</v>
      </c>
      <c r="T47" s="73">
        <f t="shared" si="16"/>
        <v>1174.8650000000002</v>
      </c>
      <c r="U47" s="57">
        <f t="shared" si="17"/>
        <v>785984.68500000017</v>
      </c>
      <c r="V47" s="67">
        <f t="shared" si="18"/>
        <v>68.88</v>
      </c>
      <c r="W47" s="71">
        <f t="shared" si="19"/>
        <v>327.17999999999995</v>
      </c>
      <c r="X47" s="66">
        <f t="shared" si="20"/>
        <v>218883.41999999995</v>
      </c>
      <c r="Y47" s="47">
        <f t="shared" si="9"/>
        <v>2369.2077727952169</v>
      </c>
      <c r="Z47" s="65">
        <f t="shared" si="10"/>
        <v>498.78058374636146</v>
      </c>
      <c r="AA47" s="62">
        <f t="shared" si="6"/>
        <v>2369.2077727952169</v>
      </c>
      <c r="AB47" s="64">
        <f t="shared" si="7"/>
        <v>498.78058374636146</v>
      </c>
      <c r="AC47" s="63">
        <f t="shared" si="8"/>
        <v>0</v>
      </c>
      <c r="AD47" s="168">
        <f>IFERROR(VLOOKUP(B47,IMPORTE_RESERVA!$A$2:$L$100,11,FALSE),0)</f>
        <v>2500</v>
      </c>
      <c r="AE47" s="170">
        <f>IFERROR(VLOOKUP(B47,IMPORTE_RESERVA!$A$2:$L$100,12,FALSE),0)</f>
        <v>1585000</v>
      </c>
    </row>
    <row r="48" spans="1:31" s="77" customFormat="1" x14ac:dyDescent="0.35">
      <c r="A48" s="75">
        <v>43</v>
      </c>
      <c r="B48" s="40">
        <v>25463</v>
      </c>
      <c r="C48" s="40">
        <v>9301</v>
      </c>
      <c r="D48" s="40" t="s">
        <v>198</v>
      </c>
      <c r="E48" s="74"/>
      <c r="F48" s="40" t="s">
        <v>36</v>
      </c>
      <c r="G48" s="40">
        <v>83101929322</v>
      </c>
      <c r="H48" s="40" t="s">
        <v>34</v>
      </c>
      <c r="I48" s="41">
        <v>43405</v>
      </c>
      <c r="J48" s="40" t="s">
        <v>80</v>
      </c>
      <c r="K48" s="39">
        <v>1200</v>
      </c>
      <c r="L48" s="48">
        <v>44334</v>
      </c>
      <c r="M48" s="59">
        <v>546</v>
      </c>
      <c r="N48" s="24">
        <f t="shared" si="21"/>
        <v>2593.5</v>
      </c>
      <c r="O48" s="46">
        <f t="shared" si="12"/>
        <v>70489610.100000009</v>
      </c>
      <c r="P48" s="45">
        <f t="shared" si="13"/>
        <v>546</v>
      </c>
      <c r="Q48" s="61">
        <f t="shared" si="14"/>
        <v>2593.5</v>
      </c>
      <c r="R48" s="46">
        <f t="shared" si="15"/>
        <v>70489610.100000009</v>
      </c>
      <c r="S48" s="59">
        <v>0</v>
      </c>
      <c r="T48" s="73">
        <f t="shared" si="16"/>
        <v>0</v>
      </c>
      <c r="U48" s="57">
        <f t="shared" si="17"/>
        <v>0</v>
      </c>
      <c r="V48" s="67">
        <f t="shared" si="18"/>
        <v>86.740000000000009</v>
      </c>
      <c r="W48" s="71">
        <f t="shared" si="19"/>
        <v>412.01500000000004</v>
      </c>
      <c r="X48" s="66">
        <f t="shared" si="20"/>
        <v>275638.03500000003</v>
      </c>
      <c r="Y48" s="47">
        <f t="shared" si="9"/>
        <v>2181.4618834080716</v>
      </c>
      <c r="Z48" s="65">
        <f t="shared" si="10"/>
        <v>459.25513334906771</v>
      </c>
      <c r="AA48" s="62">
        <f t="shared" si="6"/>
        <v>2181.4618834080716</v>
      </c>
      <c r="AB48" s="64">
        <f t="shared" si="7"/>
        <v>459.25513334906771</v>
      </c>
      <c r="AC48" s="63">
        <f t="shared" si="8"/>
        <v>0</v>
      </c>
      <c r="AD48" s="168">
        <f>IFERROR(VLOOKUP(B48,IMPORTE_RESERVA!$A$2:$L$100,11,FALSE),0)</f>
        <v>2301</v>
      </c>
      <c r="AE48" s="170">
        <f>IFERROR(VLOOKUP(B48,IMPORTE_RESERVA!$A$2:$L$100,12,FALSE),0)</f>
        <v>1459398</v>
      </c>
    </row>
    <row r="49" spans="1:31" s="77" customFormat="1" hidden="1" x14ac:dyDescent="0.35">
      <c r="A49" s="75">
        <v>44</v>
      </c>
      <c r="B49" s="40">
        <v>5563</v>
      </c>
      <c r="C49" s="40">
        <v>9301</v>
      </c>
      <c r="D49" s="138" t="s">
        <v>199</v>
      </c>
      <c r="E49" s="74"/>
      <c r="F49" s="40" t="s">
        <v>64</v>
      </c>
      <c r="G49" s="40">
        <v>63081403294</v>
      </c>
      <c r="H49" s="40" t="s">
        <v>82</v>
      </c>
      <c r="I49" s="41">
        <v>25569</v>
      </c>
      <c r="J49" s="40" t="s">
        <v>80</v>
      </c>
      <c r="K49" s="39">
        <v>1200</v>
      </c>
      <c r="L49" s="48"/>
      <c r="M49" s="59">
        <v>0</v>
      </c>
      <c r="N49" s="24">
        <f t="shared" si="21"/>
        <v>0</v>
      </c>
      <c r="O49" s="46">
        <f t="shared" si="12"/>
        <v>0</v>
      </c>
      <c r="P49" s="45">
        <f t="shared" si="13"/>
        <v>0</v>
      </c>
      <c r="Q49" s="61">
        <f t="shared" si="14"/>
        <v>0</v>
      </c>
      <c r="R49" s="46">
        <f t="shared" si="15"/>
        <v>0</v>
      </c>
      <c r="S49" s="59">
        <v>0</v>
      </c>
      <c r="T49" s="73">
        <f t="shared" si="16"/>
        <v>0</v>
      </c>
      <c r="U49" s="57">
        <f t="shared" si="17"/>
        <v>0</v>
      </c>
      <c r="V49" s="67">
        <f t="shared" si="18"/>
        <v>0</v>
      </c>
      <c r="W49" s="71">
        <f t="shared" si="19"/>
        <v>0</v>
      </c>
      <c r="X49" s="66">
        <f t="shared" si="20"/>
        <v>0</v>
      </c>
      <c r="Y49" s="47">
        <f t="shared" si="9"/>
        <v>0</v>
      </c>
      <c r="Z49" s="65">
        <f t="shared" si="10"/>
        <v>0</v>
      </c>
      <c r="AA49" s="62">
        <f t="shared" si="6"/>
        <v>0</v>
      </c>
      <c r="AB49" s="64">
        <f t="shared" si="7"/>
        <v>0</v>
      </c>
      <c r="AC49" s="63">
        <f t="shared" si="8"/>
        <v>0</v>
      </c>
      <c r="AD49" s="168">
        <f>IFERROR(VLOOKUP(B49,IMPORTE_RESERVA!$A$2:$L$100,11,FALSE),0)</f>
        <v>0</v>
      </c>
      <c r="AE49" s="170">
        <f>IFERROR(VLOOKUP(B49,IMPORTE_RESERVA!$A$2:$L$100,12,FALSE),0)</f>
        <v>0</v>
      </c>
    </row>
    <row r="50" spans="1:31" s="77" customFormat="1" x14ac:dyDescent="0.35">
      <c r="A50" s="75">
        <v>45</v>
      </c>
      <c r="B50" s="40">
        <v>16163</v>
      </c>
      <c r="C50" s="40">
        <v>9301</v>
      </c>
      <c r="D50" s="40" t="s">
        <v>200</v>
      </c>
      <c r="E50" s="74"/>
      <c r="F50" s="40" t="s">
        <v>36</v>
      </c>
      <c r="G50" s="40">
        <v>66052808919</v>
      </c>
      <c r="H50" s="40" t="s">
        <v>201</v>
      </c>
      <c r="I50" s="41">
        <v>43551</v>
      </c>
      <c r="J50" s="40" t="s">
        <v>80</v>
      </c>
      <c r="K50" s="39">
        <v>1200</v>
      </c>
      <c r="L50" s="48">
        <v>44334</v>
      </c>
      <c r="M50" s="59">
        <v>588</v>
      </c>
      <c r="N50" s="24">
        <f t="shared" si="21"/>
        <v>2793</v>
      </c>
      <c r="O50" s="46">
        <f t="shared" si="12"/>
        <v>75911887.799999997</v>
      </c>
      <c r="P50" s="45">
        <f t="shared" si="13"/>
        <v>588</v>
      </c>
      <c r="Q50" s="61">
        <f t="shared" si="14"/>
        <v>2793</v>
      </c>
      <c r="R50" s="46">
        <f t="shared" si="15"/>
        <v>75911887.799999997</v>
      </c>
      <c r="S50" s="59">
        <v>144</v>
      </c>
      <c r="T50" s="73">
        <f t="shared" si="16"/>
        <v>684</v>
      </c>
      <c r="U50" s="57">
        <f t="shared" si="17"/>
        <v>457596</v>
      </c>
      <c r="V50" s="67">
        <f t="shared" si="18"/>
        <v>83.93</v>
      </c>
      <c r="W50" s="71">
        <f t="shared" si="19"/>
        <v>398.66750000000002</v>
      </c>
      <c r="X50" s="66">
        <f t="shared" si="20"/>
        <v>266708.5575</v>
      </c>
      <c r="Y50" s="47">
        <f t="shared" si="9"/>
        <v>1710.337817638266</v>
      </c>
      <c r="Z50" s="65">
        <f t="shared" si="10"/>
        <v>360.07111950279284</v>
      </c>
      <c r="AA50" s="62">
        <f t="shared" si="6"/>
        <v>1710.337817638266</v>
      </c>
      <c r="AB50" s="64">
        <f t="shared" si="7"/>
        <v>360.07111950279284</v>
      </c>
      <c r="AC50" s="63">
        <f t="shared" si="8"/>
        <v>0</v>
      </c>
      <c r="AD50" s="168">
        <f>IFERROR(VLOOKUP(B50,IMPORTE_RESERVA!$A$2:$L$100,11,FALSE),0)</f>
        <v>1822</v>
      </c>
      <c r="AE50" s="170">
        <f>IFERROR(VLOOKUP(B50,IMPORTE_RESERVA!$A$2:$L$100,12,FALSE),0)</f>
        <v>1144216</v>
      </c>
    </row>
    <row r="51" spans="1:31" s="77" customFormat="1" x14ac:dyDescent="0.35">
      <c r="A51" s="75">
        <v>46</v>
      </c>
      <c r="B51" s="40">
        <v>25598</v>
      </c>
      <c r="C51" s="40">
        <v>9301</v>
      </c>
      <c r="D51" s="40" t="s">
        <v>202</v>
      </c>
      <c r="E51" s="74"/>
      <c r="F51" s="40" t="s">
        <v>36</v>
      </c>
      <c r="G51" s="40">
        <v>60082616801</v>
      </c>
      <c r="H51" s="40" t="s">
        <v>203</v>
      </c>
      <c r="I51" s="41">
        <v>43405</v>
      </c>
      <c r="J51" s="40" t="s">
        <v>80</v>
      </c>
      <c r="K51" s="39">
        <v>950</v>
      </c>
      <c r="L51" s="48">
        <v>44336</v>
      </c>
      <c r="M51" s="59">
        <v>492</v>
      </c>
      <c r="N51" s="24">
        <f t="shared" si="21"/>
        <v>2337</v>
      </c>
      <c r="O51" s="46">
        <f t="shared" si="12"/>
        <v>63518110.200000003</v>
      </c>
      <c r="P51" s="45">
        <f t="shared" si="13"/>
        <v>492</v>
      </c>
      <c r="Q51" s="61">
        <f t="shared" si="14"/>
        <v>2337</v>
      </c>
      <c r="R51" s="46">
        <f t="shared" si="15"/>
        <v>63518110.200000003</v>
      </c>
      <c r="S51" s="59">
        <v>0</v>
      </c>
      <c r="T51" s="73">
        <f t="shared" si="16"/>
        <v>0</v>
      </c>
      <c r="U51" s="57">
        <f t="shared" si="17"/>
        <v>0</v>
      </c>
      <c r="V51" s="67">
        <f t="shared" si="18"/>
        <v>158.16000000000003</v>
      </c>
      <c r="W51" s="71">
        <f t="shared" si="19"/>
        <v>751.2600000000001</v>
      </c>
      <c r="X51" s="66">
        <f t="shared" si="20"/>
        <v>502592.94000000006</v>
      </c>
      <c r="Y51" s="47">
        <f t="shared" si="9"/>
        <v>1585.7486696562034</v>
      </c>
      <c r="Z51" s="65">
        <f t="shared" si="10"/>
        <v>333.84182519077967</v>
      </c>
      <c r="AA51" s="62">
        <f t="shared" si="6"/>
        <v>1585.7486696562034</v>
      </c>
      <c r="AB51" s="64">
        <f t="shared" si="7"/>
        <v>333.84182519077967</v>
      </c>
      <c r="AC51" s="63">
        <f t="shared" si="8"/>
        <v>0</v>
      </c>
      <c r="AD51" s="168">
        <f>IFERROR(VLOOKUP(B51,IMPORTE_RESERVA!$A$2:$L$100,11,FALSE),0)</f>
        <v>1673.17</v>
      </c>
      <c r="AE51" s="170">
        <f>IFERROR(VLOOKUP(B51,IMPORTE_RESERVA!$A$2:$L$100,12,FALSE),0)</f>
        <v>1060865.8600000001</v>
      </c>
    </row>
    <row r="52" spans="1:31" s="77" customFormat="1" hidden="1" x14ac:dyDescent="0.35">
      <c r="A52" s="75">
        <v>47</v>
      </c>
      <c r="B52" s="40">
        <v>23715</v>
      </c>
      <c r="C52" s="40">
        <v>9500</v>
      </c>
      <c r="D52" s="156" t="s">
        <v>204</v>
      </c>
      <c r="E52" s="74"/>
      <c r="F52" s="40" t="s">
        <v>36</v>
      </c>
      <c r="G52" s="40">
        <v>86042216988</v>
      </c>
      <c r="H52" s="40" t="s">
        <v>205</v>
      </c>
      <c r="I52" s="41">
        <v>42762</v>
      </c>
      <c r="J52" s="40" t="s">
        <v>83</v>
      </c>
      <c r="K52" s="39">
        <v>522</v>
      </c>
      <c r="L52" s="48">
        <v>44334</v>
      </c>
      <c r="M52" s="59">
        <v>0</v>
      </c>
      <c r="N52" s="24">
        <f t="shared" si="21"/>
        <v>0</v>
      </c>
      <c r="O52" s="46">
        <f t="shared" si="12"/>
        <v>0</v>
      </c>
      <c r="P52" s="45">
        <f t="shared" si="13"/>
        <v>0</v>
      </c>
      <c r="Q52" s="61">
        <f t="shared" si="14"/>
        <v>0</v>
      </c>
      <c r="R52" s="46">
        <f t="shared" si="15"/>
        <v>0</v>
      </c>
      <c r="S52" s="59">
        <v>0</v>
      </c>
      <c r="T52" s="73">
        <f t="shared" si="16"/>
        <v>0</v>
      </c>
      <c r="U52" s="57">
        <f t="shared" si="17"/>
        <v>0</v>
      </c>
      <c r="V52" s="67">
        <f t="shared" si="18"/>
        <v>0</v>
      </c>
      <c r="W52" s="71">
        <f t="shared" si="19"/>
        <v>0</v>
      </c>
      <c r="X52" s="66">
        <f t="shared" si="20"/>
        <v>0</v>
      </c>
      <c r="Y52" s="47">
        <f t="shared" si="9"/>
        <v>0</v>
      </c>
      <c r="Z52" s="65">
        <f t="shared" si="10"/>
        <v>0</v>
      </c>
      <c r="AA52" s="62">
        <f t="shared" si="6"/>
        <v>0</v>
      </c>
      <c r="AB52" s="64">
        <f t="shared" si="7"/>
        <v>0</v>
      </c>
      <c r="AC52" s="63">
        <f t="shared" si="8"/>
        <v>0</v>
      </c>
      <c r="AD52" s="168">
        <f>IFERROR(VLOOKUP(B52,IMPORTE_RESERVA!$A$2:$L$100,11,FALSE),0)</f>
        <v>0</v>
      </c>
      <c r="AE52" s="170">
        <f>IFERROR(VLOOKUP(B52,IMPORTE_RESERVA!$A$2:$L$100,12,FALSE),0)</f>
        <v>0</v>
      </c>
    </row>
    <row r="53" spans="1:31" s="77" customFormat="1" x14ac:dyDescent="0.35">
      <c r="A53" s="75">
        <v>48</v>
      </c>
      <c r="B53" s="139">
        <v>26171</v>
      </c>
      <c r="C53" s="139">
        <v>9301</v>
      </c>
      <c r="D53" s="155" t="s">
        <v>206</v>
      </c>
      <c r="E53" s="74"/>
      <c r="F53" s="139" t="s">
        <v>36</v>
      </c>
      <c r="G53" s="139">
        <v>77121906782</v>
      </c>
      <c r="H53" s="139" t="s">
        <v>40</v>
      </c>
      <c r="I53" s="140">
        <v>43551</v>
      </c>
      <c r="J53" s="139" t="s">
        <v>38</v>
      </c>
      <c r="K53" s="139">
        <v>1200</v>
      </c>
      <c r="L53" s="76">
        <v>44334</v>
      </c>
      <c r="M53" s="141">
        <v>483</v>
      </c>
      <c r="N53" s="142">
        <f t="shared" si="21"/>
        <v>2294.25</v>
      </c>
      <c r="O53" s="143">
        <f t="shared" si="12"/>
        <v>62356193.550000004</v>
      </c>
      <c r="P53" s="144">
        <f t="shared" si="13"/>
        <v>483</v>
      </c>
      <c r="Q53" s="145">
        <f t="shared" si="14"/>
        <v>2294.25</v>
      </c>
      <c r="R53" s="143">
        <f t="shared" si="15"/>
        <v>62356193.550000004</v>
      </c>
      <c r="S53" s="141">
        <v>0</v>
      </c>
      <c r="T53" s="146">
        <f t="shared" si="16"/>
        <v>0</v>
      </c>
      <c r="U53" s="147">
        <f t="shared" si="17"/>
        <v>0</v>
      </c>
      <c r="V53" s="148">
        <f t="shared" si="18"/>
        <v>5.1700000000000159</v>
      </c>
      <c r="W53" s="149">
        <f t="shared" si="19"/>
        <v>24.557500000000076</v>
      </c>
      <c r="X53" s="150">
        <f t="shared" si="20"/>
        <v>16428.96750000005</v>
      </c>
      <c r="Y53" s="47">
        <f t="shared" si="9"/>
        <v>2269.7040358744393</v>
      </c>
      <c r="Z53" s="151">
        <f t="shared" si="10"/>
        <v>477.83242860514514</v>
      </c>
      <c r="AA53" s="152">
        <f t="shared" si="6"/>
        <v>2269.7040358744393</v>
      </c>
      <c r="AB53" s="153">
        <f t="shared" si="7"/>
        <v>477.83242860514514</v>
      </c>
      <c r="AC53" s="154">
        <f t="shared" si="8"/>
        <v>0</v>
      </c>
      <c r="AD53" s="168">
        <f>IFERROR(VLOOKUP(B53,IMPORTE_RESERVA!$A$2:$L$100,11,FALSE),0)</f>
        <v>2394</v>
      </c>
      <c r="AE53" s="170">
        <f>IFERROR(VLOOKUP(B53,IMPORTE_RESERVA!$A$2:$L$100,12,FALSE),0)</f>
        <v>1518432</v>
      </c>
    </row>
    <row r="54" spans="1:31" x14ac:dyDescent="0.35">
      <c r="A54" s="38">
        <v>49</v>
      </c>
      <c r="B54" s="40">
        <v>24542</v>
      </c>
      <c r="C54" s="40">
        <v>9301</v>
      </c>
      <c r="D54" s="40" t="s">
        <v>207</v>
      </c>
      <c r="E54" s="74"/>
      <c r="F54" s="40" t="s">
        <v>36</v>
      </c>
      <c r="G54" s="40">
        <v>69072913008</v>
      </c>
      <c r="H54" s="40" t="s">
        <v>208</v>
      </c>
      <c r="I54" s="41">
        <v>42979</v>
      </c>
      <c r="J54" s="40" t="s">
        <v>80</v>
      </c>
      <c r="K54" s="39">
        <v>1200</v>
      </c>
      <c r="L54" s="48">
        <v>44336</v>
      </c>
      <c r="M54" s="59">
        <v>486</v>
      </c>
      <c r="N54" s="24">
        <f t="shared" si="21"/>
        <v>2308.5</v>
      </c>
      <c r="O54" s="46">
        <f t="shared" si="12"/>
        <v>62743499.100000001</v>
      </c>
      <c r="P54" s="45">
        <f t="shared" si="13"/>
        <v>486</v>
      </c>
      <c r="Q54" s="61">
        <f t="shared" si="14"/>
        <v>2308.5</v>
      </c>
      <c r="R54" s="46">
        <f t="shared" si="15"/>
        <v>62743499.100000001</v>
      </c>
      <c r="S54" s="59">
        <v>436</v>
      </c>
      <c r="T54" s="73">
        <f t="shared" si="16"/>
        <v>2071</v>
      </c>
      <c r="U54" s="57">
        <f t="shared" si="17"/>
        <v>1385499</v>
      </c>
      <c r="V54" s="67">
        <f t="shared" si="18"/>
        <v>0</v>
      </c>
      <c r="W54" s="71">
        <f t="shared" si="19"/>
        <v>0</v>
      </c>
      <c r="X54" s="66">
        <f t="shared" si="20"/>
        <v>0</v>
      </c>
      <c r="Y54" s="47">
        <f t="shared" si="9"/>
        <v>2369.2077727952169</v>
      </c>
      <c r="Z54" s="65">
        <f t="shared" si="10"/>
        <v>498.78058374636146</v>
      </c>
      <c r="AA54" s="62">
        <f t="shared" si="6"/>
        <v>2308.5</v>
      </c>
      <c r="AB54" s="64">
        <f t="shared" si="7"/>
        <v>486</v>
      </c>
      <c r="AC54" s="63">
        <f t="shared" si="8"/>
        <v>60.707772795216897</v>
      </c>
      <c r="AD54" s="168">
        <f>IFERROR(VLOOKUP(B54,IMPORTE_RESERVA!$A$2:$L$100,11,FALSE),0)</f>
        <v>2500</v>
      </c>
      <c r="AE54" s="170">
        <f>IFERROR(VLOOKUP(B54,IMPORTE_RESERVA!$A$2:$L$100,12,FALSE),0)</f>
        <v>1585000</v>
      </c>
    </row>
    <row r="55" spans="1:31" x14ac:dyDescent="0.35">
      <c r="A55" s="38">
        <v>50</v>
      </c>
      <c r="B55" s="40">
        <v>23613</v>
      </c>
      <c r="C55" s="40">
        <v>9090</v>
      </c>
      <c r="D55" s="40" t="s">
        <v>209</v>
      </c>
      <c r="E55" s="74"/>
      <c r="F55" s="40" t="s">
        <v>36</v>
      </c>
      <c r="G55" s="40">
        <v>88102121029</v>
      </c>
      <c r="H55" s="40" t="s">
        <v>210</v>
      </c>
      <c r="I55" s="41">
        <v>43405</v>
      </c>
      <c r="J55" s="40" t="s">
        <v>47</v>
      </c>
      <c r="K55" s="39">
        <v>522</v>
      </c>
      <c r="L55" s="48">
        <v>44334</v>
      </c>
      <c r="M55" s="59">
        <v>121</v>
      </c>
      <c r="N55" s="24">
        <f t="shared" si="21"/>
        <v>574.75</v>
      </c>
      <c r="O55" s="46">
        <f t="shared" si="12"/>
        <v>15621323.850000001</v>
      </c>
      <c r="P55" s="45">
        <f t="shared" si="13"/>
        <v>121</v>
      </c>
      <c r="Q55" s="61">
        <f t="shared" si="14"/>
        <v>574.75</v>
      </c>
      <c r="R55" s="46">
        <f t="shared" si="15"/>
        <v>15621323.850000001</v>
      </c>
      <c r="S55" s="59">
        <v>0</v>
      </c>
      <c r="T55" s="73">
        <f t="shared" si="16"/>
        <v>0</v>
      </c>
      <c r="U55" s="57">
        <f t="shared" si="17"/>
        <v>0</v>
      </c>
      <c r="V55" s="67">
        <f t="shared" si="18"/>
        <v>42.230000000000004</v>
      </c>
      <c r="W55" s="71">
        <f t="shared" si="19"/>
        <v>200.59250000000003</v>
      </c>
      <c r="X55" s="66">
        <f t="shared" si="20"/>
        <v>134196.38250000001</v>
      </c>
      <c r="Y55" s="47">
        <f t="shared" si="9"/>
        <v>374.17189835575488</v>
      </c>
      <c r="Z55" s="65">
        <f t="shared" si="10"/>
        <v>78.773031232790501</v>
      </c>
      <c r="AA55" s="62">
        <f t="shared" si="6"/>
        <v>374.17189835575488</v>
      </c>
      <c r="AB55" s="64">
        <f t="shared" si="7"/>
        <v>78.773031232790501</v>
      </c>
      <c r="AC55" s="63">
        <f t="shared" si="8"/>
        <v>0</v>
      </c>
      <c r="AD55" s="168">
        <v>385.75</v>
      </c>
      <c r="AE55" s="170">
        <v>250321</v>
      </c>
    </row>
    <row r="56" spans="1:31" x14ac:dyDescent="0.35">
      <c r="A56" s="38">
        <v>51</v>
      </c>
      <c r="B56" s="40">
        <v>23857</v>
      </c>
      <c r="C56" s="40">
        <v>9301</v>
      </c>
      <c r="D56" s="40" t="s">
        <v>211</v>
      </c>
      <c r="E56" s="74"/>
      <c r="F56" s="40" t="s">
        <v>36</v>
      </c>
      <c r="G56" s="40">
        <v>84091224184</v>
      </c>
      <c r="H56" s="40" t="s">
        <v>68</v>
      </c>
      <c r="I56" s="41">
        <v>42826</v>
      </c>
      <c r="J56" s="40" t="s">
        <v>80</v>
      </c>
      <c r="K56" s="39">
        <v>1200</v>
      </c>
      <c r="L56" s="48">
        <v>44334</v>
      </c>
      <c r="M56" s="59">
        <v>672</v>
      </c>
      <c r="N56" s="24">
        <f t="shared" si="21"/>
        <v>3192</v>
      </c>
      <c r="O56" s="46">
        <f t="shared" si="12"/>
        <v>86756443.200000003</v>
      </c>
      <c r="P56" s="45">
        <f t="shared" si="13"/>
        <v>672</v>
      </c>
      <c r="Q56" s="61">
        <f t="shared" si="14"/>
        <v>3192</v>
      </c>
      <c r="R56" s="46">
        <f t="shared" si="15"/>
        <v>86756443.200000003</v>
      </c>
      <c r="S56" s="59">
        <v>622</v>
      </c>
      <c r="T56" s="73">
        <f t="shared" si="16"/>
        <v>2954.5</v>
      </c>
      <c r="U56" s="57">
        <f t="shared" si="17"/>
        <v>1976560.5</v>
      </c>
      <c r="V56" s="67">
        <f t="shared" si="18"/>
        <v>50</v>
      </c>
      <c r="W56" s="71">
        <f t="shared" si="19"/>
        <v>237.5</v>
      </c>
      <c r="X56" s="66">
        <f t="shared" si="20"/>
        <v>158887.5</v>
      </c>
      <c r="Y56" s="47">
        <f t="shared" si="9"/>
        <v>0</v>
      </c>
      <c r="Z56" s="65">
        <f t="shared" si="10"/>
        <v>0</v>
      </c>
      <c r="AA56" s="62">
        <f t="shared" si="6"/>
        <v>0</v>
      </c>
      <c r="AB56" s="64">
        <f t="shared" si="7"/>
        <v>0</v>
      </c>
      <c r="AC56" s="63">
        <f t="shared" si="8"/>
        <v>0</v>
      </c>
      <c r="AD56" s="168">
        <f>IFERROR(VLOOKUP(B56,IMPORTE_RESERVA!$A$2:$L$100,11,FALSE),0)</f>
        <v>0</v>
      </c>
      <c r="AE56" s="170">
        <f>IFERROR(VLOOKUP(B56,IMPORTE_RESERVA!$A$2:$L$100,12,FALSE),0)</f>
        <v>0</v>
      </c>
    </row>
    <row r="57" spans="1:31" x14ac:dyDescent="0.35">
      <c r="A57" s="38">
        <v>52</v>
      </c>
      <c r="B57" s="40">
        <v>23700</v>
      </c>
      <c r="C57" s="40">
        <v>9300</v>
      </c>
      <c r="D57" s="40" t="s">
        <v>212</v>
      </c>
      <c r="E57" s="74"/>
      <c r="F57" s="40" t="s">
        <v>36</v>
      </c>
      <c r="G57" s="40">
        <v>67070500186</v>
      </c>
      <c r="H57" s="40" t="s">
        <v>213</v>
      </c>
      <c r="I57" s="41">
        <v>43101</v>
      </c>
      <c r="J57" s="40" t="s">
        <v>51</v>
      </c>
      <c r="K57" s="39">
        <v>1200</v>
      </c>
      <c r="L57" s="48">
        <v>44334</v>
      </c>
      <c r="M57" s="59">
        <v>554</v>
      </c>
      <c r="N57" s="24">
        <f t="shared" si="21"/>
        <v>2631.5</v>
      </c>
      <c r="O57" s="46">
        <f t="shared" si="12"/>
        <v>71522424.900000006</v>
      </c>
      <c r="P57" s="45">
        <f t="shared" si="13"/>
        <v>554</v>
      </c>
      <c r="Q57" s="61">
        <f t="shared" si="14"/>
        <v>2631.5</v>
      </c>
      <c r="R57" s="46">
        <f t="shared" si="15"/>
        <v>71522424.900000006</v>
      </c>
      <c r="S57" s="59">
        <v>56</v>
      </c>
      <c r="T57" s="73">
        <f t="shared" si="16"/>
        <v>266</v>
      </c>
      <c r="U57" s="57">
        <f t="shared" si="17"/>
        <v>177954</v>
      </c>
      <c r="V57" s="67">
        <f t="shared" si="18"/>
        <v>0</v>
      </c>
      <c r="W57" s="71">
        <f t="shared" si="19"/>
        <v>0</v>
      </c>
      <c r="X57" s="66">
        <f t="shared" si="20"/>
        <v>0</v>
      </c>
      <c r="Y57" s="47">
        <f t="shared" si="9"/>
        <v>2369.2077727952169</v>
      </c>
      <c r="Z57" s="65">
        <f t="shared" si="10"/>
        <v>498.78058374636146</v>
      </c>
      <c r="AA57" s="62">
        <f t="shared" si="6"/>
        <v>2369.2077727952169</v>
      </c>
      <c r="AB57" s="64">
        <f t="shared" si="7"/>
        <v>498.78058374636146</v>
      </c>
      <c r="AC57" s="63">
        <f t="shared" si="8"/>
        <v>0</v>
      </c>
      <c r="AD57" s="168">
        <f>IFERROR(VLOOKUP(B57,IMPORTE_RESERVA!$A$2:$L$100,11,FALSE),0)</f>
        <v>1588</v>
      </c>
      <c r="AE57" s="170">
        <f>IFERROR(VLOOKUP(B57,IMPORTE_RESERVA!$A$2:$L$100,12,FALSE),0)</f>
        <v>1585000</v>
      </c>
    </row>
    <row r="58" spans="1:31" x14ac:dyDescent="0.35">
      <c r="A58" s="38">
        <v>53</v>
      </c>
      <c r="B58" s="40">
        <v>20485</v>
      </c>
      <c r="C58" s="40">
        <v>9301</v>
      </c>
      <c r="D58" s="40" t="s">
        <v>214</v>
      </c>
      <c r="E58" s="74"/>
      <c r="F58" s="40" t="s">
        <v>36</v>
      </c>
      <c r="G58" s="40">
        <v>70101006056</v>
      </c>
      <c r="H58" s="40" t="s">
        <v>37</v>
      </c>
      <c r="I58" s="41">
        <v>43132</v>
      </c>
      <c r="J58" s="40" t="s">
        <v>80</v>
      </c>
      <c r="K58" s="39">
        <v>650</v>
      </c>
      <c r="L58" s="48">
        <v>44334</v>
      </c>
      <c r="M58" s="59">
        <v>444</v>
      </c>
      <c r="N58" s="24">
        <f t="shared" ref="N58:N66" si="22">M58*$G$4</f>
        <v>2109</v>
      </c>
      <c r="O58" s="46">
        <f t="shared" ref="O58:O66" si="23">M58*$E$4</f>
        <v>57321221.400000006</v>
      </c>
      <c r="P58" s="45">
        <f t="shared" ref="P58:P66" si="24">IF(OR(EXACT(E58,"x"), EXACT(E58,"X")),IF(M58-50 &lt; 0, 0, M58-50),M58)</f>
        <v>444</v>
      </c>
      <c r="Q58" s="61">
        <f t="shared" ref="Q58:Q66" si="25">P58*$G$4</f>
        <v>2109</v>
      </c>
      <c r="R58" s="46">
        <f t="shared" ref="R58:R66" si="26">P58*$E$4</f>
        <v>57321221.400000006</v>
      </c>
      <c r="S58" s="59">
        <v>0</v>
      </c>
      <c r="T58" s="73">
        <f t="shared" ref="T58:T66" si="27">S58*$G$4</f>
        <v>0</v>
      </c>
      <c r="U58" s="57">
        <f t="shared" ref="U58:U66" si="28">S58*$G$4*$X$3</f>
        <v>0</v>
      </c>
      <c r="V58" s="67">
        <f t="shared" ref="V58:V66" si="29">IF((P58-Z58-S58)&lt; 0, 0,(P58-ROUND(Z58,2)-S58))</f>
        <v>229.04</v>
      </c>
      <c r="W58" s="71">
        <f t="shared" ref="W58:W66" si="30">V58*$G$4</f>
        <v>1087.94</v>
      </c>
      <c r="X58" s="66">
        <f t="shared" ref="X58:X66" si="31">V58*$G$4*$X$3</f>
        <v>727831.86</v>
      </c>
      <c r="Y58" s="47">
        <f t="shared" si="9"/>
        <v>1021.0670553064275</v>
      </c>
      <c r="Z58" s="65">
        <f t="shared" ref="Z58:Z66" si="32">Y58/$G$4</f>
        <v>214.96148532766895</v>
      </c>
      <c r="AA58" s="62">
        <f t="shared" ref="AA58:AA66" si="33">AB58*$G$4</f>
        <v>1021.0670553064275</v>
      </c>
      <c r="AB58" s="64">
        <f t="shared" ref="AB58:AB66" si="34">IF(  EXACT(Z58-P58,Z58), 0,IF(Z58-P58&lt;0,Z58,Z58-(Z58-P58)))</f>
        <v>214.96148532766895</v>
      </c>
      <c r="AC58" s="63">
        <f t="shared" si="8"/>
        <v>0</v>
      </c>
      <c r="AD58" s="168">
        <f>IFERROR(VLOOKUP(B58,IMPORTE_RESERVA!$A$2:$L$100,11,FALSE),0)</f>
        <v>1079.17</v>
      </c>
      <c r="AE58" s="170">
        <f>IFERROR(VLOOKUP(B58,IMPORTE_RESERVA!$A$2:$L$100,12,FALSE),0)</f>
        <v>683093.86</v>
      </c>
    </row>
    <row r="59" spans="1:31" x14ac:dyDescent="0.35">
      <c r="A59" s="38">
        <v>54</v>
      </c>
      <c r="B59" s="40">
        <v>25442</v>
      </c>
      <c r="C59" s="40">
        <v>9301</v>
      </c>
      <c r="D59" s="40" t="s">
        <v>215</v>
      </c>
      <c r="E59" s="74"/>
      <c r="F59" s="40" t="s">
        <v>36</v>
      </c>
      <c r="G59" s="40">
        <v>62123017390</v>
      </c>
      <c r="H59" s="40" t="s">
        <v>42</v>
      </c>
      <c r="I59" s="41">
        <v>43252</v>
      </c>
      <c r="J59" s="40" t="s">
        <v>80</v>
      </c>
      <c r="K59" s="39">
        <v>950</v>
      </c>
      <c r="L59" s="48">
        <v>44334</v>
      </c>
      <c r="M59" s="59">
        <v>965</v>
      </c>
      <c r="N59" s="24">
        <f t="shared" si="22"/>
        <v>4583.75</v>
      </c>
      <c r="O59" s="46">
        <f t="shared" si="23"/>
        <v>124583285.25</v>
      </c>
      <c r="P59" s="45">
        <f t="shared" si="24"/>
        <v>965</v>
      </c>
      <c r="Q59" s="61">
        <f t="shared" si="25"/>
        <v>4583.75</v>
      </c>
      <c r="R59" s="46">
        <f t="shared" si="26"/>
        <v>124583285.25</v>
      </c>
      <c r="S59" s="59">
        <v>0</v>
      </c>
      <c r="T59" s="73">
        <f t="shared" si="27"/>
        <v>0</v>
      </c>
      <c r="U59" s="57">
        <f t="shared" si="28"/>
        <v>0</v>
      </c>
      <c r="V59" s="67">
        <f t="shared" si="29"/>
        <v>617.16000000000008</v>
      </c>
      <c r="W59" s="71">
        <f t="shared" si="30"/>
        <v>2931.51</v>
      </c>
      <c r="X59" s="66">
        <f t="shared" si="31"/>
        <v>1961180.1900000002</v>
      </c>
      <c r="Y59" s="47">
        <f t="shared" si="9"/>
        <v>1652.2210164424516</v>
      </c>
      <c r="Z59" s="65">
        <f t="shared" si="32"/>
        <v>347.83600346156874</v>
      </c>
      <c r="AA59" s="62">
        <f t="shared" si="33"/>
        <v>1652.2210164424514</v>
      </c>
      <c r="AB59" s="64">
        <f t="shared" si="34"/>
        <v>347.83600346156874</v>
      </c>
      <c r="AC59" s="63">
        <f t="shared" si="8"/>
        <v>0</v>
      </c>
      <c r="AD59" s="168">
        <f>IFERROR(VLOOKUP(B59,IMPORTE_RESERVA!$A$2:$L$100,11,FALSE),0)</f>
        <v>1743.17</v>
      </c>
      <c r="AE59" s="170">
        <f>IFERROR(VLOOKUP(B59,IMPORTE_RESERVA!$A$2:$L$100,12,FALSE),0)</f>
        <v>1105335.8600000001</v>
      </c>
    </row>
    <row r="60" spans="1:31" x14ac:dyDescent="0.35">
      <c r="A60" s="38">
        <v>55</v>
      </c>
      <c r="B60" s="40">
        <v>24766</v>
      </c>
      <c r="C60" s="40">
        <v>9301</v>
      </c>
      <c r="D60" s="40" t="s">
        <v>216</v>
      </c>
      <c r="E60" s="74"/>
      <c r="F60" s="40" t="s">
        <v>36</v>
      </c>
      <c r="G60" s="40">
        <v>72041605376</v>
      </c>
      <c r="H60" s="40" t="s">
        <v>66</v>
      </c>
      <c r="I60" s="41">
        <v>43252</v>
      </c>
      <c r="J60" s="40" t="s">
        <v>80</v>
      </c>
      <c r="K60" s="39">
        <v>1200</v>
      </c>
      <c r="L60" s="48">
        <v>44334</v>
      </c>
      <c r="M60" s="59">
        <v>396</v>
      </c>
      <c r="N60" s="24">
        <f t="shared" si="22"/>
        <v>1881</v>
      </c>
      <c r="O60" s="46">
        <f t="shared" si="23"/>
        <v>51124332.600000001</v>
      </c>
      <c r="P60" s="45">
        <f t="shared" si="24"/>
        <v>396</v>
      </c>
      <c r="Q60" s="61">
        <f t="shared" si="25"/>
        <v>1881</v>
      </c>
      <c r="R60" s="46">
        <f t="shared" si="26"/>
        <v>51124332.600000001</v>
      </c>
      <c r="S60" s="59">
        <v>0</v>
      </c>
      <c r="T60" s="73">
        <f t="shared" si="27"/>
        <v>0</v>
      </c>
      <c r="U60" s="57">
        <f t="shared" si="28"/>
        <v>0</v>
      </c>
      <c r="V60" s="67">
        <f t="shared" si="29"/>
        <v>0</v>
      </c>
      <c r="W60" s="71">
        <f t="shared" si="30"/>
        <v>0</v>
      </c>
      <c r="X60" s="66">
        <f t="shared" si="31"/>
        <v>0</v>
      </c>
      <c r="Y60" s="47">
        <f t="shared" si="9"/>
        <v>2181.4618834080716</v>
      </c>
      <c r="Z60" s="65">
        <f t="shared" si="32"/>
        <v>459.25513334906771</v>
      </c>
      <c r="AA60" s="62">
        <f t="shared" si="33"/>
        <v>1881</v>
      </c>
      <c r="AB60" s="64">
        <f t="shared" si="34"/>
        <v>396</v>
      </c>
      <c r="AC60" s="63">
        <f t="shared" si="8"/>
        <v>300.46188340807157</v>
      </c>
      <c r="AD60" s="168">
        <f>IFERROR(VLOOKUP(B60,IMPORTE_RESERVA!$A$2:$L$100,11,FALSE),0)</f>
        <v>2301</v>
      </c>
      <c r="AE60" s="170">
        <f>IFERROR(VLOOKUP(B60,IMPORTE_RESERVA!$A$2:$L$100,12,FALSE),0)</f>
        <v>1459398</v>
      </c>
    </row>
    <row r="61" spans="1:31" x14ac:dyDescent="0.35">
      <c r="A61" s="38">
        <v>56</v>
      </c>
      <c r="B61" s="40">
        <v>23628</v>
      </c>
      <c r="C61" s="40">
        <v>9301</v>
      </c>
      <c r="D61" s="40" t="s">
        <v>217</v>
      </c>
      <c r="E61" s="74"/>
      <c r="F61" s="40" t="s">
        <v>36</v>
      </c>
      <c r="G61" s="40">
        <v>64042105078</v>
      </c>
      <c r="H61" s="40" t="s">
        <v>82</v>
      </c>
      <c r="I61" s="41">
        <v>42675</v>
      </c>
      <c r="J61" s="40" t="s">
        <v>80</v>
      </c>
      <c r="K61" s="39">
        <v>1200</v>
      </c>
      <c r="L61" s="48">
        <v>44334</v>
      </c>
      <c r="M61" s="59">
        <v>873</v>
      </c>
      <c r="N61" s="24">
        <f t="shared" si="22"/>
        <v>4146.75</v>
      </c>
      <c r="O61" s="46">
        <f t="shared" si="23"/>
        <v>112705915.05000001</v>
      </c>
      <c r="P61" s="45">
        <f t="shared" si="24"/>
        <v>873</v>
      </c>
      <c r="Q61" s="61">
        <f t="shared" si="25"/>
        <v>4146.75</v>
      </c>
      <c r="R61" s="46">
        <f t="shared" si="26"/>
        <v>112705915.05000001</v>
      </c>
      <c r="S61" s="59">
        <v>305.34000000000003</v>
      </c>
      <c r="T61" s="73">
        <f t="shared" si="27"/>
        <v>1450.3650000000002</v>
      </c>
      <c r="U61" s="57">
        <f t="shared" si="28"/>
        <v>970294.18500000017</v>
      </c>
      <c r="V61" s="67">
        <f t="shared" si="29"/>
        <v>68.88</v>
      </c>
      <c r="W61" s="71">
        <f t="shared" si="30"/>
        <v>327.17999999999995</v>
      </c>
      <c r="X61" s="66">
        <f t="shared" si="31"/>
        <v>218883.41999999995</v>
      </c>
      <c r="Y61" s="47">
        <f t="shared" si="9"/>
        <v>2369.2077727952169</v>
      </c>
      <c r="Z61" s="65">
        <f t="shared" si="32"/>
        <v>498.78058374636146</v>
      </c>
      <c r="AA61" s="62">
        <f t="shared" si="33"/>
        <v>2369.2077727952169</v>
      </c>
      <c r="AB61" s="64">
        <f t="shared" si="34"/>
        <v>498.78058374636146</v>
      </c>
      <c r="AC61" s="63">
        <f t="shared" si="8"/>
        <v>0</v>
      </c>
      <c r="AD61" s="168">
        <f>IFERROR(VLOOKUP(B61,IMPORTE_RESERVA!$A$2:$L$100,11,FALSE),0)</f>
        <v>2500</v>
      </c>
      <c r="AE61" s="170">
        <f>IFERROR(VLOOKUP(B61,IMPORTE_RESERVA!$A$2:$L$100,12,FALSE),0)</f>
        <v>1585000</v>
      </c>
    </row>
    <row r="62" spans="1:31" hidden="1" x14ac:dyDescent="0.35">
      <c r="A62" s="38">
        <v>57</v>
      </c>
      <c r="B62" s="40">
        <v>26599</v>
      </c>
      <c r="C62" s="40">
        <v>9301</v>
      </c>
      <c r="D62" s="138" t="s">
        <v>218</v>
      </c>
      <c r="E62" s="74"/>
      <c r="F62" s="40" t="s">
        <v>64</v>
      </c>
      <c r="G62" s="40">
        <v>63082215424</v>
      </c>
      <c r="H62" s="40" t="s">
        <v>82</v>
      </c>
      <c r="I62" s="41">
        <v>25569</v>
      </c>
      <c r="J62" s="40" t="s">
        <v>80</v>
      </c>
      <c r="K62" s="39">
        <v>1200</v>
      </c>
      <c r="L62" s="48"/>
      <c r="M62" s="59">
        <v>0</v>
      </c>
      <c r="N62" s="24">
        <f t="shared" si="22"/>
        <v>0</v>
      </c>
      <c r="O62" s="46">
        <f t="shared" si="23"/>
        <v>0</v>
      </c>
      <c r="P62" s="45">
        <f t="shared" si="24"/>
        <v>0</v>
      </c>
      <c r="Q62" s="61">
        <f t="shared" si="25"/>
        <v>0</v>
      </c>
      <c r="R62" s="46">
        <f t="shared" si="26"/>
        <v>0</v>
      </c>
      <c r="S62" s="59">
        <v>0</v>
      </c>
      <c r="T62" s="73">
        <f t="shared" si="27"/>
        <v>0</v>
      </c>
      <c r="U62" s="57">
        <f t="shared" si="28"/>
        <v>0</v>
      </c>
      <c r="V62" s="67">
        <f t="shared" si="29"/>
        <v>0</v>
      </c>
      <c r="W62" s="71">
        <f t="shared" si="30"/>
        <v>0</v>
      </c>
      <c r="X62" s="66">
        <f t="shared" si="31"/>
        <v>0</v>
      </c>
      <c r="Y62" s="47">
        <f t="shared" si="9"/>
        <v>0</v>
      </c>
      <c r="Z62" s="65">
        <f t="shared" si="32"/>
        <v>0</v>
      </c>
      <c r="AA62" s="62">
        <f t="shared" si="33"/>
        <v>0</v>
      </c>
      <c r="AB62" s="64">
        <f t="shared" si="34"/>
        <v>0</v>
      </c>
      <c r="AC62" s="63">
        <f t="shared" si="8"/>
        <v>0</v>
      </c>
      <c r="AD62" s="168">
        <f>IFERROR(VLOOKUP(B62,IMPORTE_RESERVA!$A$2:$L$100,11,FALSE),0)</f>
        <v>0</v>
      </c>
      <c r="AE62" s="170">
        <f>IFERROR(VLOOKUP(B62,IMPORTE_RESERVA!$A$2:$L$100,12,FALSE),0)</f>
        <v>0</v>
      </c>
    </row>
    <row r="63" spans="1:31" x14ac:dyDescent="0.35">
      <c r="A63" s="38">
        <v>58</v>
      </c>
      <c r="B63" s="40">
        <v>24580</v>
      </c>
      <c r="C63" s="40">
        <v>9301</v>
      </c>
      <c r="D63" s="40" t="s">
        <v>219</v>
      </c>
      <c r="E63" s="74"/>
      <c r="F63" s="40" t="s">
        <v>36</v>
      </c>
      <c r="G63" s="40">
        <v>63060809061</v>
      </c>
      <c r="H63" s="40" t="s">
        <v>208</v>
      </c>
      <c r="I63" s="41">
        <v>42979</v>
      </c>
      <c r="J63" s="40" t="s">
        <v>80</v>
      </c>
      <c r="K63" s="39">
        <v>1200</v>
      </c>
      <c r="L63" s="48">
        <v>44336</v>
      </c>
      <c r="M63" s="59">
        <v>1054</v>
      </c>
      <c r="N63" s="24">
        <f t="shared" si="22"/>
        <v>5006.5</v>
      </c>
      <c r="O63" s="46">
        <f t="shared" si="23"/>
        <v>136073349.90000001</v>
      </c>
      <c r="P63" s="45">
        <f t="shared" si="24"/>
        <v>1054</v>
      </c>
      <c r="Q63" s="61">
        <f t="shared" si="25"/>
        <v>5006.5</v>
      </c>
      <c r="R63" s="46">
        <f t="shared" si="26"/>
        <v>136073349.90000001</v>
      </c>
      <c r="S63" s="59">
        <v>532.1</v>
      </c>
      <c r="T63" s="73">
        <f t="shared" si="27"/>
        <v>2527.4749999999999</v>
      </c>
      <c r="U63" s="57">
        <f t="shared" si="28"/>
        <v>1690880.7749999999</v>
      </c>
      <c r="V63" s="67">
        <f t="shared" si="29"/>
        <v>66.989999999999895</v>
      </c>
      <c r="W63" s="71">
        <f t="shared" si="30"/>
        <v>318.20249999999953</v>
      </c>
      <c r="X63" s="66">
        <f t="shared" si="31"/>
        <v>212877.47249999968</v>
      </c>
      <c r="Y63" s="47">
        <f t="shared" si="9"/>
        <v>2160.8101644245144</v>
      </c>
      <c r="Z63" s="65">
        <f t="shared" si="32"/>
        <v>454.90740303673988</v>
      </c>
      <c r="AA63" s="62">
        <f t="shared" si="33"/>
        <v>2160.8101644245144</v>
      </c>
      <c r="AB63" s="64">
        <f t="shared" si="34"/>
        <v>454.90740303673988</v>
      </c>
      <c r="AC63" s="63">
        <f t="shared" si="8"/>
        <v>0</v>
      </c>
      <c r="AD63" s="168">
        <f>IFERROR(VLOOKUP(B63,IMPORTE_RESERVA!$A$2:$L$100,11,FALSE),0)</f>
        <v>2279</v>
      </c>
      <c r="AE63" s="170">
        <f>IFERROR(VLOOKUP(B63,IMPORTE_RESERVA!$A$2:$L$100,12,FALSE),0)</f>
        <v>1445582</v>
      </c>
    </row>
    <row r="64" spans="1:31" x14ac:dyDescent="0.35">
      <c r="A64" s="38">
        <v>59</v>
      </c>
      <c r="B64" s="40">
        <v>25446</v>
      </c>
      <c r="C64" s="40">
        <v>9301</v>
      </c>
      <c r="D64" s="40" t="s">
        <v>220</v>
      </c>
      <c r="E64" s="74"/>
      <c r="F64" s="40" t="s">
        <v>36</v>
      </c>
      <c r="G64" s="40">
        <v>77112023404</v>
      </c>
      <c r="H64" s="40" t="s">
        <v>49</v>
      </c>
      <c r="I64" s="41">
        <v>43313</v>
      </c>
      <c r="J64" s="40" t="s">
        <v>80</v>
      </c>
      <c r="K64" s="39">
        <v>950</v>
      </c>
      <c r="L64" s="48">
        <v>44334</v>
      </c>
      <c r="M64" s="59">
        <v>459</v>
      </c>
      <c r="N64" s="24">
        <f t="shared" si="22"/>
        <v>2180.25</v>
      </c>
      <c r="O64" s="46">
        <f t="shared" si="23"/>
        <v>59257749.150000006</v>
      </c>
      <c r="P64" s="45">
        <f t="shared" si="24"/>
        <v>459</v>
      </c>
      <c r="Q64" s="61">
        <f t="shared" si="25"/>
        <v>2180.25</v>
      </c>
      <c r="R64" s="46">
        <f t="shared" si="26"/>
        <v>59257749.150000006</v>
      </c>
      <c r="S64" s="59">
        <v>22</v>
      </c>
      <c r="T64" s="73">
        <f t="shared" si="27"/>
        <v>104.5</v>
      </c>
      <c r="U64" s="57">
        <f t="shared" si="28"/>
        <v>69910.5</v>
      </c>
      <c r="V64" s="67">
        <f t="shared" si="29"/>
        <v>88.18</v>
      </c>
      <c r="W64" s="71">
        <f t="shared" si="30"/>
        <v>418.85500000000002</v>
      </c>
      <c r="X64" s="66">
        <f t="shared" si="31"/>
        <v>280213.995</v>
      </c>
      <c r="Y64" s="47">
        <f t="shared" si="9"/>
        <v>1656.9145889387146</v>
      </c>
      <c r="Z64" s="65">
        <f t="shared" si="32"/>
        <v>348.82412398709783</v>
      </c>
      <c r="AA64" s="62">
        <f t="shared" si="33"/>
        <v>1656.9145889387148</v>
      </c>
      <c r="AB64" s="64">
        <f t="shared" si="34"/>
        <v>348.82412398709783</v>
      </c>
      <c r="AC64" s="63">
        <f t="shared" si="8"/>
        <v>0</v>
      </c>
      <c r="AD64" s="168">
        <f>IFERROR(VLOOKUP(B64,IMPORTE_RESERVA!$A$2:$L$100,11,FALSE),0)</f>
        <v>1748.17</v>
      </c>
      <c r="AE64" s="170">
        <f>IFERROR(VLOOKUP(B64,IMPORTE_RESERVA!$A$2:$L$100,12,FALSE),0)</f>
        <v>1108475.8600000001</v>
      </c>
    </row>
    <row r="65" spans="1:31" x14ac:dyDescent="0.35">
      <c r="A65" s="38">
        <v>60</v>
      </c>
      <c r="B65" s="40">
        <v>25376</v>
      </c>
      <c r="C65" s="40">
        <v>9301</v>
      </c>
      <c r="D65" s="40" t="s">
        <v>221</v>
      </c>
      <c r="E65" s="74"/>
      <c r="F65" s="40" t="s">
        <v>36</v>
      </c>
      <c r="G65" s="40">
        <v>72052709036</v>
      </c>
      <c r="H65" s="40" t="s">
        <v>50</v>
      </c>
      <c r="I65" s="41">
        <v>43313</v>
      </c>
      <c r="J65" s="40" t="s">
        <v>80</v>
      </c>
      <c r="K65" s="39">
        <v>950</v>
      </c>
      <c r="L65" s="48">
        <v>44336</v>
      </c>
      <c r="M65" s="59">
        <v>614</v>
      </c>
      <c r="N65" s="24">
        <f t="shared" si="22"/>
        <v>2916.5</v>
      </c>
      <c r="O65" s="46">
        <f t="shared" si="23"/>
        <v>79268535.900000006</v>
      </c>
      <c r="P65" s="45">
        <f t="shared" si="24"/>
        <v>614</v>
      </c>
      <c r="Q65" s="61">
        <f t="shared" si="25"/>
        <v>2916.5</v>
      </c>
      <c r="R65" s="46">
        <f t="shared" si="26"/>
        <v>79268535.900000006</v>
      </c>
      <c r="S65" s="59">
        <v>31.5</v>
      </c>
      <c r="T65" s="73">
        <f t="shared" si="27"/>
        <v>149.625</v>
      </c>
      <c r="U65" s="57">
        <f t="shared" si="28"/>
        <v>100099.125</v>
      </c>
      <c r="V65" s="67">
        <f t="shared" si="29"/>
        <v>233.68</v>
      </c>
      <c r="W65" s="71">
        <f t="shared" si="30"/>
        <v>1109.98</v>
      </c>
      <c r="X65" s="66">
        <f t="shared" si="31"/>
        <v>742576.62</v>
      </c>
      <c r="Y65" s="47">
        <f t="shared" si="9"/>
        <v>1656.9145889387146</v>
      </c>
      <c r="Z65" s="65">
        <f t="shared" si="32"/>
        <v>348.82412398709783</v>
      </c>
      <c r="AA65" s="62">
        <f t="shared" si="33"/>
        <v>1656.9145889387148</v>
      </c>
      <c r="AB65" s="64">
        <f t="shared" si="34"/>
        <v>348.82412398709783</v>
      </c>
      <c r="AC65" s="63">
        <f t="shared" si="8"/>
        <v>0</v>
      </c>
      <c r="AD65" s="168">
        <f>IFERROR(VLOOKUP(B65,IMPORTE_RESERVA!$A$2:$L$100,11,FALSE),0)</f>
        <v>1748.17</v>
      </c>
      <c r="AE65" s="170">
        <f>IFERROR(VLOOKUP(B65,IMPORTE_RESERVA!$A$2:$L$100,12,FALSE),0)</f>
        <v>1108475.8600000001</v>
      </c>
    </row>
    <row r="66" spans="1:31" x14ac:dyDescent="0.35">
      <c r="A66" s="38">
        <v>61</v>
      </c>
      <c r="B66" s="40">
        <v>23646</v>
      </c>
      <c r="C66" s="40">
        <v>9301</v>
      </c>
      <c r="D66" s="40" t="s">
        <v>222</v>
      </c>
      <c r="E66" s="74"/>
      <c r="F66" s="40" t="s">
        <v>36</v>
      </c>
      <c r="G66" s="40">
        <v>52050100735</v>
      </c>
      <c r="H66" s="40" t="s">
        <v>42</v>
      </c>
      <c r="I66" s="41">
        <v>43132</v>
      </c>
      <c r="J66" s="40" t="s">
        <v>80</v>
      </c>
      <c r="K66" s="39">
        <v>778</v>
      </c>
      <c r="L66" s="48">
        <v>44334</v>
      </c>
      <c r="M66" s="59">
        <v>739</v>
      </c>
      <c r="N66" s="24">
        <f t="shared" si="22"/>
        <v>3510.25</v>
      </c>
      <c r="O66" s="46">
        <f t="shared" si="23"/>
        <v>95406267.150000006</v>
      </c>
      <c r="P66" s="45">
        <f t="shared" si="24"/>
        <v>739</v>
      </c>
      <c r="Q66" s="61">
        <f t="shared" si="25"/>
        <v>3510.25</v>
      </c>
      <c r="R66" s="46">
        <f t="shared" si="26"/>
        <v>95406267.150000006</v>
      </c>
      <c r="S66" s="59">
        <v>37</v>
      </c>
      <c r="T66" s="73">
        <f t="shared" si="27"/>
        <v>175.75</v>
      </c>
      <c r="U66" s="57">
        <f t="shared" si="28"/>
        <v>117576.75</v>
      </c>
      <c r="V66" s="67">
        <f t="shared" si="29"/>
        <v>454.13</v>
      </c>
      <c r="W66" s="71">
        <f t="shared" si="30"/>
        <v>2157.1174999999998</v>
      </c>
      <c r="X66" s="66">
        <f t="shared" si="31"/>
        <v>1443111.6074999999</v>
      </c>
      <c r="Y66" s="47">
        <f t="shared" si="9"/>
        <v>1177.3724065769807</v>
      </c>
      <c r="Z66" s="65">
        <f t="shared" si="32"/>
        <v>247.86787506883803</v>
      </c>
      <c r="AA66" s="62">
        <f t="shared" si="33"/>
        <v>1177.3724065769807</v>
      </c>
      <c r="AB66" s="64">
        <f t="shared" si="34"/>
        <v>247.86787506883803</v>
      </c>
      <c r="AC66" s="63">
        <f t="shared" si="8"/>
        <v>0</v>
      </c>
      <c r="AD66" s="168">
        <f>IFERROR(VLOOKUP(B66,IMPORTE_RESERVA!$A$2:$L$100,11,FALSE),0)</f>
        <v>1242.83</v>
      </c>
      <c r="AE66" s="170">
        <f>IFERROR(VLOOKUP(B66,IMPORTE_RESERVA!$A$2:$L$100,12,FALSE),0)</f>
        <v>787662.14</v>
      </c>
    </row>
    <row r="67" spans="1:31" x14ac:dyDescent="0.35">
      <c r="A67" s="38">
        <v>62</v>
      </c>
      <c r="B67" s="122">
        <v>24783</v>
      </c>
      <c r="C67" s="122">
        <v>9301</v>
      </c>
      <c r="D67" s="122" t="s">
        <v>223</v>
      </c>
      <c r="E67" s="74"/>
      <c r="F67" s="122" t="s">
        <v>36</v>
      </c>
      <c r="G67" s="122">
        <v>71061926492</v>
      </c>
      <c r="H67" s="122" t="s">
        <v>39</v>
      </c>
      <c r="I67" s="123">
        <v>43070</v>
      </c>
      <c r="J67" s="122" t="s">
        <v>80</v>
      </c>
      <c r="K67" s="124">
        <v>1200</v>
      </c>
      <c r="L67" s="48">
        <v>44334</v>
      </c>
      <c r="M67" s="59">
        <v>459</v>
      </c>
      <c r="N67" s="24">
        <f t="shared" ref="N67" si="35">M67*$G$4</f>
        <v>2180.25</v>
      </c>
      <c r="O67" s="46">
        <f t="shared" ref="O67" si="36">M67*$E$4</f>
        <v>59257749.150000006</v>
      </c>
      <c r="P67" s="45">
        <f t="shared" ref="P67" si="37">IF(OR(EXACT(E67,"x"), EXACT(E67,"X")),IF(M67-50 &lt; 0, 0, M67-50),M67)</f>
        <v>459</v>
      </c>
      <c r="Q67" s="61">
        <f t="shared" ref="Q67" si="38">P67*$G$4</f>
        <v>2180.25</v>
      </c>
      <c r="R67" s="46">
        <f t="shared" ref="R67" si="39">P67*$E$4</f>
        <v>59257749.150000006</v>
      </c>
      <c r="S67" s="59">
        <v>0</v>
      </c>
      <c r="T67" s="73">
        <f t="shared" ref="T67" si="40">S67*$G$4</f>
        <v>0</v>
      </c>
      <c r="U67" s="57">
        <f t="shared" ref="U67" si="41">S67*$G$4*$X$3</f>
        <v>0</v>
      </c>
      <c r="V67" s="67">
        <f t="shared" ref="V67" si="42">IF((P67-Z67-S67)&lt; 0, 0,(P67-ROUND(Z67,2)-S67))</f>
        <v>459</v>
      </c>
      <c r="W67" s="71">
        <f t="shared" ref="W67" si="43">V67*$G$4</f>
        <v>2180.25</v>
      </c>
      <c r="X67" s="66">
        <f t="shared" ref="X67" si="44">V67*$G$4*$X$3</f>
        <v>1458587.25</v>
      </c>
      <c r="Y67" s="47">
        <f t="shared" si="9"/>
        <v>0</v>
      </c>
      <c r="Z67" s="65">
        <f t="shared" ref="Z67" si="45">Y67/$G$4</f>
        <v>0</v>
      </c>
      <c r="AA67" s="62">
        <f t="shared" ref="AA67" si="46">AB67*$G$4</f>
        <v>0</v>
      </c>
      <c r="AB67" s="64">
        <f t="shared" ref="AB67" si="47">IF(  EXACT(Z67-P67,Z67), 0,IF(Z67-P67&lt;0,Z67,Z67-(Z67-P67)))</f>
        <v>0</v>
      </c>
      <c r="AC67" s="63">
        <f t="shared" ref="AC67" si="48">IF(OR(Y67-Q67&lt;0,EXACT(ABS(Q67-Y67),Q67)),0,ABS(Q67-Y67) )</f>
        <v>0</v>
      </c>
      <c r="AD67" s="168">
        <f>IFERROR(VLOOKUP(B67,IMPORTE_RESERVA!$A$2:$L$100,11,FALSE),0)</f>
        <v>0</v>
      </c>
      <c r="AE67" s="170">
        <f>IFERROR(VLOOKUP(B67,IMPORTE_RESERVA!$A$2:$L$100,12,FALSE),0)</f>
        <v>0</v>
      </c>
    </row>
    <row r="68" spans="1:31" x14ac:dyDescent="0.35">
      <c r="A68" s="38">
        <v>63</v>
      </c>
      <c r="B68" s="122">
        <v>25924</v>
      </c>
      <c r="C68" s="122">
        <v>9301</v>
      </c>
      <c r="D68" s="122" t="s">
        <v>232</v>
      </c>
      <c r="E68" s="74"/>
      <c r="F68" s="122" t="s">
        <v>64</v>
      </c>
      <c r="G68" s="122">
        <v>86012809858</v>
      </c>
      <c r="H68" s="122" t="s">
        <v>44</v>
      </c>
      <c r="I68" s="123">
        <v>43524</v>
      </c>
      <c r="J68" s="122" t="s">
        <v>80</v>
      </c>
      <c r="K68" s="124">
        <v>1200</v>
      </c>
      <c r="L68" s="48">
        <v>44336</v>
      </c>
      <c r="M68" s="59">
        <v>415</v>
      </c>
      <c r="N68" s="24">
        <f t="shared" ref="N68:N71" si="49">M68*$G$4</f>
        <v>1971.25</v>
      </c>
      <c r="O68" s="46">
        <f t="shared" ref="O68:O71" si="50">M68*$E$4</f>
        <v>53577267.75</v>
      </c>
      <c r="P68" s="45">
        <f t="shared" ref="P68:P71" si="51">IF(OR(EXACT(E68,"x"), EXACT(E68,"X")),IF(M68-50 &lt; 0, 0, M68-50),M68)</f>
        <v>415</v>
      </c>
      <c r="Q68" s="61">
        <f t="shared" ref="Q68:Q71" si="52">P68*$G$4</f>
        <v>1971.25</v>
      </c>
      <c r="R68" s="46">
        <f t="shared" ref="R68:R71" si="53">P68*$E$4</f>
        <v>53577267.75</v>
      </c>
      <c r="S68" s="59">
        <v>0</v>
      </c>
      <c r="T68" s="73">
        <f t="shared" ref="T68:T71" si="54">S68*$G$4</f>
        <v>0</v>
      </c>
      <c r="U68" s="57">
        <f t="shared" ref="U68:U71" si="55">S68*$G$4*$X$3</f>
        <v>0</v>
      </c>
      <c r="V68" s="67">
        <f t="shared" ref="V68:V71" si="56">IF((P68-Z68-S68)&lt; 0, 0,(P68-ROUND(Z68,2)-S68))</f>
        <v>415</v>
      </c>
      <c r="W68" s="71">
        <f t="shared" ref="W68:W71" si="57">V68*$G$4</f>
        <v>1971.25</v>
      </c>
      <c r="X68" s="66">
        <f t="shared" ref="X68:X71" si="58">V68*$G$4*$X$3</f>
        <v>1318766.25</v>
      </c>
      <c r="Y68" s="47">
        <f t="shared" si="9"/>
        <v>0</v>
      </c>
      <c r="Z68" s="65">
        <f t="shared" ref="Z68:Z71" si="59">Y68/$G$4</f>
        <v>0</v>
      </c>
      <c r="AA68" s="62">
        <f t="shared" ref="AA68:AA71" si="60">AB68*$G$4</f>
        <v>0</v>
      </c>
      <c r="AB68" s="64">
        <f t="shared" ref="AB68:AB71" si="61">IF(  EXACT(Z68-P68,Z68), 0,IF(Z68-P68&lt;0,Z68,Z68-(Z68-P68)))</f>
        <v>0</v>
      </c>
      <c r="AC68" s="63">
        <f t="shared" ref="AC68:AC71" si="62">IF(OR(Y68-Q68&lt;0,EXACT(ABS(Q68-Y68),Q68)),0,ABS(Q68-Y68) )</f>
        <v>0</v>
      </c>
      <c r="AD68" s="168">
        <f>IFERROR(VLOOKUP(B68,IMPORTE_RESERVA!$A$2:$L$100,11,FALSE),0)</f>
        <v>0</v>
      </c>
      <c r="AE68" s="170">
        <f>IFERROR(VLOOKUP(B68,IMPORTE_RESERVA!$A$2:$L$100,12,FALSE),0)</f>
        <v>0</v>
      </c>
    </row>
    <row r="69" spans="1:31" ht="18.75" customHeight="1" x14ac:dyDescent="0.35">
      <c r="A69" s="160">
        <v>64</v>
      </c>
      <c r="B69" s="158"/>
      <c r="C69" s="158">
        <v>9301</v>
      </c>
      <c r="D69" s="158" t="s">
        <v>233</v>
      </c>
      <c r="E69" s="74"/>
      <c r="F69" s="158" t="s">
        <v>234</v>
      </c>
      <c r="G69" s="158">
        <v>58010105121</v>
      </c>
      <c r="H69" s="159" t="s">
        <v>194</v>
      </c>
      <c r="I69" s="123">
        <v>43252</v>
      </c>
      <c r="J69" s="122" t="s">
        <v>80</v>
      </c>
      <c r="K69" s="124">
        <v>1200</v>
      </c>
      <c r="L69" s="48">
        <v>44336</v>
      </c>
      <c r="M69" s="59">
        <v>50</v>
      </c>
      <c r="N69" s="24">
        <f t="shared" si="49"/>
        <v>237.5</v>
      </c>
      <c r="O69" s="46">
        <f t="shared" si="50"/>
        <v>6455092.5</v>
      </c>
      <c r="P69" s="45">
        <f t="shared" si="51"/>
        <v>50</v>
      </c>
      <c r="Q69" s="61">
        <f t="shared" si="52"/>
        <v>237.5</v>
      </c>
      <c r="R69" s="46">
        <f t="shared" si="53"/>
        <v>6455092.5</v>
      </c>
      <c r="S69" s="59">
        <v>0</v>
      </c>
      <c r="T69" s="73">
        <f t="shared" si="54"/>
        <v>0</v>
      </c>
      <c r="U69" s="57">
        <f t="shared" si="55"/>
        <v>0</v>
      </c>
      <c r="V69" s="67">
        <f t="shared" si="56"/>
        <v>50</v>
      </c>
      <c r="W69" s="71">
        <f t="shared" si="57"/>
        <v>237.5</v>
      </c>
      <c r="X69" s="66">
        <f t="shared" si="58"/>
        <v>158887.5</v>
      </c>
      <c r="Y69" s="47">
        <f t="shared" si="9"/>
        <v>0</v>
      </c>
      <c r="Z69" s="65">
        <f t="shared" si="59"/>
        <v>0</v>
      </c>
      <c r="AA69" s="62">
        <f t="shared" si="60"/>
        <v>0</v>
      </c>
      <c r="AB69" s="64">
        <f t="shared" si="61"/>
        <v>0</v>
      </c>
      <c r="AC69" s="63">
        <f t="shared" si="62"/>
        <v>0</v>
      </c>
      <c r="AD69" s="168">
        <f>IFERROR(VLOOKUP(B69,IMPORTE_RESERVA!$A$2:$L$100,11,FALSE),0)</f>
        <v>0</v>
      </c>
      <c r="AE69" s="170">
        <f>IFERROR(VLOOKUP(B69,IMPORTE_RESERVA!$A$2:$L$100,12,FALSE),0)</f>
        <v>0</v>
      </c>
    </row>
    <row r="70" spans="1:31" hidden="1" x14ac:dyDescent="0.35">
      <c r="A70" s="38">
        <v>65</v>
      </c>
      <c r="B70" s="122"/>
      <c r="C70" s="122"/>
      <c r="D70" s="122"/>
      <c r="E70" s="74"/>
      <c r="F70" s="122"/>
      <c r="G70" s="122"/>
      <c r="H70" s="122"/>
      <c r="I70" s="123"/>
      <c r="J70" s="122"/>
      <c r="K70" s="124"/>
      <c r="L70" s="48"/>
      <c r="M70" s="59">
        <v>0</v>
      </c>
      <c r="N70" s="24">
        <f t="shared" si="49"/>
        <v>0</v>
      </c>
      <c r="O70" s="46">
        <f t="shared" si="50"/>
        <v>0</v>
      </c>
      <c r="P70" s="45">
        <f t="shared" si="51"/>
        <v>0</v>
      </c>
      <c r="Q70" s="61">
        <f t="shared" si="52"/>
        <v>0</v>
      </c>
      <c r="R70" s="46">
        <f t="shared" si="53"/>
        <v>0</v>
      </c>
      <c r="S70" s="59">
        <v>0</v>
      </c>
      <c r="T70" s="73">
        <f t="shared" si="54"/>
        <v>0</v>
      </c>
      <c r="U70" s="57">
        <f t="shared" si="55"/>
        <v>0</v>
      </c>
      <c r="V70" s="67">
        <f t="shared" si="56"/>
        <v>0</v>
      </c>
      <c r="W70" s="71">
        <f t="shared" si="57"/>
        <v>0</v>
      </c>
      <c r="X70" s="66">
        <f t="shared" si="58"/>
        <v>0</v>
      </c>
      <c r="Y70" s="47">
        <f t="shared" si="9"/>
        <v>0</v>
      </c>
      <c r="Z70" s="65">
        <f t="shared" si="59"/>
        <v>0</v>
      </c>
      <c r="AA70" s="62">
        <f t="shared" si="60"/>
        <v>0</v>
      </c>
      <c r="AB70" s="64">
        <f t="shared" si="61"/>
        <v>0</v>
      </c>
      <c r="AC70" s="63">
        <f t="shared" si="62"/>
        <v>0</v>
      </c>
      <c r="AD70" s="168">
        <f>IFERROR(VLOOKUP(B70,IMPORTE_RESERVA!$A$2:$L$100,11,FALSE),0)</f>
        <v>0</v>
      </c>
      <c r="AE70" s="170">
        <f>IFERROR(VLOOKUP(B70,IMPORTE_RESERVA!$A$2:$L$100,12,FALSE),0)</f>
        <v>0</v>
      </c>
    </row>
    <row r="71" spans="1:31" hidden="1" x14ac:dyDescent="0.35">
      <c r="A71" s="38">
        <v>66</v>
      </c>
      <c r="B71" s="122"/>
      <c r="C71" s="122"/>
      <c r="D71" s="157"/>
      <c r="E71" s="74"/>
      <c r="F71" s="122"/>
      <c r="G71" s="122"/>
      <c r="H71" s="122"/>
      <c r="I71" s="123"/>
      <c r="J71" s="122"/>
      <c r="K71" s="124"/>
      <c r="L71" s="48"/>
      <c r="M71" s="59">
        <v>0</v>
      </c>
      <c r="N71" s="24">
        <f t="shared" si="49"/>
        <v>0</v>
      </c>
      <c r="O71" s="46">
        <f t="shared" si="50"/>
        <v>0</v>
      </c>
      <c r="P71" s="45">
        <f t="shared" si="51"/>
        <v>0</v>
      </c>
      <c r="Q71" s="61">
        <f t="shared" si="52"/>
        <v>0</v>
      </c>
      <c r="R71" s="46">
        <f t="shared" si="53"/>
        <v>0</v>
      </c>
      <c r="S71" s="59">
        <v>0</v>
      </c>
      <c r="T71" s="73">
        <f t="shared" si="54"/>
        <v>0</v>
      </c>
      <c r="U71" s="57">
        <f t="shared" si="55"/>
        <v>0</v>
      </c>
      <c r="V71" s="67">
        <f t="shared" si="56"/>
        <v>0</v>
      </c>
      <c r="W71" s="71">
        <f t="shared" si="57"/>
        <v>0</v>
      </c>
      <c r="X71" s="66">
        <f t="shared" si="58"/>
        <v>0</v>
      </c>
      <c r="Y71" s="47">
        <f t="shared" ref="Y71" si="63">AE71/$X$3</f>
        <v>0</v>
      </c>
      <c r="Z71" s="65">
        <f t="shared" si="59"/>
        <v>0</v>
      </c>
      <c r="AA71" s="62">
        <f t="shared" si="60"/>
        <v>0</v>
      </c>
      <c r="AB71" s="64">
        <f t="shared" si="61"/>
        <v>0</v>
      </c>
      <c r="AC71" s="63">
        <f t="shared" si="62"/>
        <v>0</v>
      </c>
      <c r="AD71" s="168">
        <f>IFERROR(VLOOKUP(B71,IMPORTE_RESERVA!$A$2:$L$100,11,FALSE),0)</f>
        <v>0</v>
      </c>
      <c r="AE71" s="170">
        <f>IFERROR(VLOOKUP(B71,IMPORTE_RESERVA!$A$2:$L$100,12,FALSE),0)</f>
        <v>0</v>
      </c>
    </row>
  </sheetData>
  <sheetProtection formatCells="0" formatColumns="0" formatRows="0" sort="0" autoFilter="0"/>
  <autoFilter ref="A5:AD71" xr:uid="{00000000-0009-0000-0000-000000000000}">
    <filterColumn colId="12">
      <filters>
        <filter val="1005.00"/>
        <filter val="1054.00"/>
        <filter val="1057.00"/>
        <filter val="109.00"/>
        <filter val="1135.00"/>
        <filter val="121.00"/>
        <filter val="1271.00"/>
        <filter val="1325.00"/>
        <filter val="148.00"/>
        <filter val="298.00"/>
        <filter val="340.00"/>
        <filter val="371.00"/>
        <filter val="391.00"/>
        <filter val="396.00"/>
        <filter val="415.00"/>
        <filter val="444.00"/>
        <filter val="447.00"/>
        <filter val="451.00"/>
        <filter val="459.00"/>
        <filter val="483.00"/>
        <filter val="486.00"/>
        <filter val="491.00"/>
        <filter val="492.00"/>
        <filter val="50.00"/>
        <filter val="501.00"/>
        <filter val="529.00"/>
        <filter val="534.00"/>
        <filter val="546.00"/>
        <filter val="554.00"/>
        <filter val="564.00"/>
        <filter val="573.00"/>
        <filter val="577.00"/>
        <filter val="588.00"/>
        <filter val="611.00"/>
        <filter val="614.00"/>
        <filter val="658.00"/>
        <filter val="672.00"/>
        <filter val="687.00"/>
        <filter val="739.00"/>
        <filter val="77.00"/>
        <filter val="772.00"/>
        <filter val="815.00"/>
        <filter val="828.00"/>
        <filter val="836.00"/>
        <filter val="847.00"/>
        <filter val="850.00"/>
        <filter val="857.00"/>
        <filter val="872.00"/>
        <filter val="873.00"/>
        <filter val="880.00"/>
        <filter val="920.00"/>
        <filter val="965.00"/>
        <filter val="995.00"/>
        <filter val="996.00"/>
      </filters>
    </filterColumn>
  </autoFilter>
  <mergeCells count="8">
    <mergeCell ref="Y3:AB3"/>
    <mergeCell ref="T3:W3"/>
    <mergeCell ref="Y4:AC4"/>
    <mergeCell ref="C4:D4"/>
    <mergeCell ref="M4:O4"/>
    <mergeCell ref="P4:R4"/>
    <mergeCell ref="S4:U4"/>
    <mergeCell ref="V4:X4"/>
  </mergeCells>
  <dataValidations count="6">
    <dataValidation type="date" operator="greaterThanOrEqual" allowBlank="1" showInputMessage="1" showErrorMessage="1" errorTitle="Error de edición" error="Debe ser igual o mayor a la fecha  actual." sqref="L6:L71" xr:uid="{00000000-0002-0000-0000-000000000000}">
      <formula1>TODAY()</formula1>
    </dataValidation>
    <dataValidation type="textLength" allowBlank="1" showDropDown="1" showInputMessage="1" showErrorMessage="1" errorTitle="Error de edición" error="Debe marcar con una &quot;x&quot; los casos que se deduce el valor delos 50kg  gratis." sqref="E6:E61 E63:E69" xr:uid="{00000000-0002-0000-0000-000001000000}">
      <formula1>1</formula1>
      <formula2>1</formula2>
    </dataValidation>
    <dataValidation type="decimal" operator="lessThanOrEqual" allowBlank="1" showInputMessage="1" showErrorMessage="1" errorTitle="Error de edición" error="Debe especificar un valor entero mayor o igual al valor total de KG pendiente de pago." sqref="S6:S71" xr:uid="{00000000-0002-0000-0000-000002000000}">
      <formula1>IF(P6-AB6&lt;0,0,P6-AB6)</formula1>
    </dataValidation>
    <dataValidation type="decimal" operator="greaterThan" allowBlank="1" showInputMessage="1" showErrorMessage="1" errorTitle="Error " error="La tasa de pago al despachante debe ser mayor que 0." sqref="X3" xr:uid="{00000000-0002-0000-0000-000003000000}">
      <formula1>0</formula1>
    </dataValidation>
    <dataValidation type="decimal" operator="greaterThan" allowBlank="1" showInputMessage="1" showErrorMessage="1" errorTitle="Error" error="La tasa de pago por nómina debe ser mayor que 0." sqref="AC3" xr:uid="{00000000-0002-0000-0000-000004000000}">
      <formula1>0</formula1>
    </dataValidation>
    <dataValidation type="decimal" operator="greaterThanOrEqual" showInputMessage="1" showErrorMessage="1" errorTitle="Error" error="El total de KG a despachar debe ser igual o mayor a 0." sqref="M6:M71" xr:uid="{00000000-0002-0000-0000-000005000000}">
      <formula1>0</formula1>
    </dataValidation>
  </dataValidations>
  <printOptions horizontalCentered="1" verticalCentered="1"/>
  <pageMargins left="0" right="0" top="0.74803149606299213" bottom="0.39370078740157483" header="0.31496062992125984" footer="0.31496062992125984"/>
  <pageSetup paperSize="9"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EXPORTAR_CONTRATO">
                <anchor moveWithCells="1" sizeWithCells="1">
                  <from>
                    <xdr:col>1</xdr:col>
                    <xdr:colOff>0</xdr:colOff>
                    <xdr:row>1</xdr:row>
                    <xdr:rowOff>19050</xdr:rowOff>
                  </from>
                  <to>
                    <xdr:col>29</xdr:col>
                    <xdr:colOff>12700</xdr:colOff>
                    <xdr:row>2</xdr:row>
                    <xdr:rowOff>12700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9"/>
  <dimension ref="A2:Z420"/>
  <sheetViews>
    <sheetView tabSelected="1" topLeftCell="A7" zoomScale="70" zoomScaleNormal="70" workbookViewId="0">
      <selection activeCell="E15" sqref="E15"/>
    </sheetView>
  </sheetViews>
  <sheetFormatPr baseColWidth="10" defaultRowHeight="14.5" x14ac:dyDescent="0.35"/>
  <cols>
    <col min="1" max="1" width="4.81640625" customWidth="1"/>
    <col min="2" max="2" width="7" hidden="1" customWidth="1"/>
    <col min="3" max="3" width="17.453125" bestFit="1" customWidth="1"/>
    <col min="4" max="4" width="30.453125" customWidth="1"/>
    <col min="6" max="6" width="0.1796875" customWidth="1"/>
    <col min="8" max="8" width="0.1796875" customWidth="1"/>
    <col min="10" max="11" width="11" customWidth="1"/>
    <col min="12" max="12" width="13.26953125" customWidth="1"/>
    <col min="13" max="13" width="9.81640625" customWidth="1"/>
    <col min="14" max="15" width="13.7265625" customWidth="1"/>
    <col min="16" max="16" width="15.26953125" customWidth="1"/>
    <col min="17" max="17" width="14.7265625" customWidth="1"/>
    <col min="18" max="18" width="9.54296875" customWidth="1"/>
    <col min="19" max="19" width="15.453125" customWidth="1"/>
    <col min="20" max="20" width="9.453125" customWidth="1"/>
    <col min="21" max="21" width="14.54296875" customWidth="1"/>
    <col min="22" max="22" width="12.1796875" customWidth="1"/>
    <col min="23" max="23" width="13.81640625" customWidth="1"/>
    <col min="24" max="24" width="14" customWidth="1"/>
    <col min="26" max="26" width="14.26953125" customWidth="1"/>
    <col min="27" max="27" width="17.54296875" bestFit="1" customWidth="1"/>
    <col min="28" max="28" width="16.7265625" bestFit="1" customWidth="1"/>
    <col min="29" max="29" width="20.1796875" bestFit="1" customWidth="1"/>
  </cols>
  <sheetData>
    <row r="2" spans="1:26" ht="21" x14ac:dyDescent="0.5">
      <c r="N2" s="197" t="s">
        <v>320</v>
      </c>
    </row>
    <row r="3" spans="1:26" x14ac:dyDescent="0.35">
      <c r="L3" s="173"/>
      <c r="M3" s="172" t="s">
        <v>362</v>
      </c>
      <c r="N3" s="174">
        <v>8000000</v>
      </c>
    </row>
    <row r="4" spans="1:26" x14ac:dyDescent="0.35">
      <c r="L4" s="173"/>
      <c r="M4" s="172" t="s">
        <v>309</v>
      </c>
      <c r="N4" s="174">
        <v>58</v>
      </c>
    </row>
    <row r="5" spans="1:26" x14ac:dyDescent="0.35">
      <c r="M5" s="172" t="s">
        <v>308</v>
      </c>
      <c r="N5" s="198">
        <f>ROUND(N3/N4,2)</f>
        <v>137931.03</v>
      </c>
    </row>
    <row r="6" spans="1:26" x14ac:dyDescent="0.35">
      <c r="M6" s="172" t="s">
        <v>363</v>
      </c>
      <c r="N6" s="175">
        <v>655</v>
      </c>
    </row>
    <row r="7" spans="1:26" x14ac:dyDescent="0.35">
      <c r="M7" s="172" t="s">
        <v>364</v>
      </c>
      <c r="N7" s="175">
        <v>16000</v>
      </c>
    </row>
    <row r="8" spans="1:26" x14ac:dyDescent="0.35">
      <c r="M8" s="172" t="s">
        <v>365</v>
      </c>
      <c r="N8" s="198">
        <f>N7/58</f>
        <v>275.86206896551727</v>
      </c>
    </row>
    <row r="9" spans="1:26" x14ac:dyDescent="0.35">
      <c r="M9" s="172" t="s">
        <v>315</v>
      </c>
      <c r="N9" s="175">
        <v>8</v>
      </c>
    </row>
    <row r="10" spans="1:26" x14ac:dyDescent="0.35">
      <c r="M10" s="172"/>
      <c r="N10" s="175"/>
    </row>
    <row r="11" spans="1:26" x14ac:dyDescent="0.35">
      <c r="M11" s="172"/>
      <c r="N11" s="175"/>
    </row>
    <row r="12" spans="1:26" ht="15" thickBot="1" x14ac:dyDescent="0.4">
      <c r="M12" s="172"/>
      <c r="N12" s="171"/>
      <c r="O12" s="171"/>
      <c r="P12" s="171"/>
    </row>
    <row r="13" spans="1:26" ht="15" thickBot="1" x14ac:dyDescent="0.4">
      <c r="R13" s="258" t="s">
        <v>358</v>
      </c>
      <c r="S13" s="259"/>
      <c r="T13" s="260" t="s">
        <v>359</v>
      </c>
      <c r="U13" s="261"/>
      <c r="V13" s="262"/>
      <c r="W13" s="184"/>
    </row>
    <row r="14" spans="1:26" ht="57.75" customHeight="1" thickBot="1" x14ac:dyDescent="0.4">
      <c r="A14" s="20"/>
      <c r="B14" s="180" t="s">
        <v>26</v>
      </c>
      <c r="C14" s="26" t="s">
        <v>21</v>
      </c>
      <c r="D14" s="26" t="s">
        <v>7</v>
      </c>
      <c r="E14" s="28" t="s">
        <v>13</v>
      </c>
      <c r="F14" s="28" t="s">
        <v>14</v>
      </c>
      <c r="G14" s="26" t="s">
        <v>15</v>
      </c>
      <c r="H14" s="28" t="s">
        <v>27</v>
      </c>
      <c r="I14" s="28" t="s">
        <v>12</v>
      </c>
      <c r="J14" s="29" t="s">
        <v>11</v>
      </c>
      <c r="K14" s="32" t="s">
        <v>327</v>
      </c>
      <c r="L14" s="199" t="s">
        <v>355</v>
      </c>
      <c r="M14" s="181" t="s">
        <v>305</v>
      </c>
      <c r="N14" s="182" t="s">
        <v>356</v>
      </c>
      <c r="O14" s="193" t="s">
        <v>318</v>
      </c>
      <c r="P14" s="193" t="s">
        <v>357</v>
      </c>
      <c r="Q14" s="199" t="s">
        <v>310</v>
      </c>
      <c r="R14" s="185" t="s">
        <v>311</v>
      </c>
      <c r="S14" s="183" t="s">
        <v>356</v>
      </c>
      <c r="T14" s="34" t="s">
        <v>305</v>
      </c>
      <c r="U14" s="34" t="s">
        <v>356</v>
      </c>
      <c r="V14" s="204" t="s">
        <v>360</v>
      </c>
      <c r="W14" s="33" t="s">
        <v>361</v>
      </c>
      <c r="X14" s="181" t="s">
        <v>312</v>
      </c>
      <c r="Y14" s="27" t="s">
        <v>313</v>
      </c>
      <c r="Z14" s="205" t="s">
        <v>322</v>
      </c>
    </row>
    <row r="15" spans="1:26" s="77" customFormat="1" x14ac:dyDescent="0.35">
      <c r="A15" s="221">
        <v>1</v>
      </c>
      <c r="B15" s="222">
        <v>25451</v>
      </c>
      <c r="C15" s="223">
        <v>9301</v>
      </c>
      <c r="D15" s="223" t="s">
        <v>329</v>
      </c>
      <c r="E15" s="223" t="s">
        <v>331</v>
      </c>
      <c r="F15" s="224">
        <v>60092906054</v>
      </c>
      <c r="G15" s="225" t="s">
        <v>330</v>
      </c>
      <c r="H15" s="225">
        <v>43313</v>
      </c>
      <c r="I15" s="224" t="s">
        <v>332</v>
      </c>
      <c r="J15" s="226">
        <v>1200</v>
      </c>
      <c r="K15" s="244">
        <v>44369</v>
      </c>
      <c r="L15" s="227">
        <v>1812558</v>
      </c>
      <c r="M15" s="228">
        <v>4.5999999999999996</v>
      </c>
      <c r="N15" s="142">
        <f>PRODUCT(M15,$N$5)</f>
        <v>634482.7379999999</v>
      </c>
      <c r="O15" s="229">
        <f>IFERROR(IF(($N$4-VLOOKUP(REGISTRO_MAESTRO_m3!X15,DISTRIBUCION_CONTENEDORES!$A$3:$D$530,2) ) &lt; 0,0,($N$4-VLOOKUP(X15,DISTRIBUCION_CONTENEDORES!$A$3:$D$530,2) ) * (M15/VLOOKUP(X15,DISTRIBUCION_CONTENEDORES!$A$3:$D$530,2))),0) *$N$5</f>
        <v>1528950.4662328039</v>
      </c>
      <c r="P15" s="230">
        <f t="shared" ref="P15" si="0">N15+O15</f>
        <v>2163433.2042328035</v>
      </c>
      <c r="Q15" s="226">
        <f>P15-L15</f>
        <v>350875.20423280355</v>
      </c>
      <c r="R15" s="231">
        <f>IFERROR(S15/$N$5,0)</f>
        <v>0</v>
      </c>
      <c r="S15" s="232">
        <v>0</v>
      </c>
      <c r="T15" s="233">
        <f>U15/$N$5</f>
        <v>2.5438453133627985</v>
      </c>
      <c r="U15" s="234">
        <f>IF(Q15&lt; 0, 0, Q15-S15)</f>
        <v>350875.20423280355</v>
      </c>
      <c r="V15" s="235">
        <f>U15/$N$6</f>
        <v>535.68733470657025</v>
      </c>
      <c r="W15" s="236">
        <f>M15*$N$8</f>
        <v>1268.9655172413793</v>
      </c>
      <c r="X15" s="237">
        <v>3</v>
      </c>
      <c r="Y15" s="238">
        <v>0</v>
      </c>
      <c r="Z15" s="238">
        <f>Y15*4.75*668</f>
        <v>0</v>
      </c>
    </row>
    <row r="16" spans="1:26" x14ac:dyDescent="0.35">
      <c r="A16" s="176">
        <v>2</v>
      </c>
      <c r="B16" s="177">
        <v>24772</v>
      </c>
      <c r="C16" s="178">
        <v>9301</v>
      </c>
      <c r="D16" s="223" t="s">
        <v>366</v>
      </c>
      <c r="E16" s="223" t="s">
        <v>331</v>
      </c>
      <c r="F16" s="179">
        <v>65011113348</v>
      </c>
      <c r="G16" s="225" t="s">
        <v>330</v>
      </c>
      <c r="H16" s="206">
        <v>43040</v>
      </c>
      <c r="I16" s="224" t="s">
        <v>333</v>
      </c>
      <c r="J16" s="190">
        <v>1200</v>
      </c>
      <c r="K16" s="244">
        <v>44369</v>
      </c>
      <c r="L16" s="202">
        <v>1676342</v>
      </c>
      <c r="M16" s="200">
        <v>3.22</v>
      </c>
      <c r="N16" s="24">
        <f t="shared" ref="N16:N37" si="1">PRODUCT(M16,$N$5)</f>
        <v>444137.9166</v>
      </c>
      <c r="O16" s="196">
        <f>IFERROR(IF(($N$4-VLOOKUP(REGISTRO_MAESTRO_m3!X16,DISTRIBUCION_CONTENEDORES!$A$3:$D$530,2) ) &lt; 0,0,($N$4-VLOOKUP(X16,DISTRIBUCION_CONTENEDORES!$A$3:$D$530,2) ) * (ROUND(M16/VLOOKUP(X16,DISTRIBUCION_CONTENEDORES!$A$3:$D$530,2),5))),0) *$N$5</f>
        <v>506419.01802413992</v>
      </c>
      <c r="P16" s="194">
        <f t="shared" ref="P16:P27" si="2">N16+O16</f>
        <v>950556.93462413992</v>
      </c>
      <c r="Q16" s="190">
        <f t="shared" ref="Q16:Q27" si="3">P16-L16</f>
        <v>-725785.06537586008</v>
      </c>
      <c r="R16" s="188">
        <f t="shared" ref="R16:R37" si="4">IFERROR(S16/$N$5,0)</f>
        <v>0</v>
      </c>
      <c r="S16" s="201">
        <v>0</v>
      </c>
      <c r="T16" s="191">
        <f t="shared" ref="T16:T37" si="5">U16/$N$5</f>
        <v>0</v>
      </c>
      <c r="U16" s="187">
        <f t="shared" ref="U16:U27" si="6">IF(Q16&lt; 0, 0, Q16-S16)</f>
        <v>0</v>
      </c>
      <c r="V16" s="203">
        <f t="shared" ref="V16:V37" si="7">U16/$N$6</f>
        <v>0</v>
      </c>
      <c r="W16" s="56">
        <f t="shared" ref="W16:W27" si="8">M16*$N$8</f>
        <v>888.27586206896569</v>
      </c>
      <c r="X16" s="207">
        <v>2</v>
      </c>
      <c r="Y16" s="189">
        <v>0</v>
      </c>
      <c r="Z16" s="189">
        <f t="shared" ref="Z16:Z37" si="9">Y16*4.75*668</f>
        <v>0</v>
      </c>
    </row>
    <row r="17" spans="1:26" s="77" customFormat="1" x14ac:dyDescent="0.35">
      <c r="A17" s="221">
        <v>3</v>
      </c>
      <c r="B17" s="222">
        <v>25670</v>
      </c>
      <c r="C17" s="223">
        <v>9301</v>
      </c>
      <c r="D17" s="223" t="s">
        <v>367</v>
      </c>
      <c r="E17" s="223" t="s">
        <v>331</v>
      </c>
      <c r="F17" s="224">
        <v>77080406421</v>
      </c>
      <c r="G17" s="225" t="s">
        <v>330</v>
      </c>
      <c r="H17" s="225">
        <v>43405</v>
      </c>
      <c r="I17" s="224" t="s">
        <v>334</v>
      </c>
      <c r="J17" s="226">
        <v>1200</v>
      </c>
      <c r="K17" s="244">
        <v>44369</v>
      </c>
      <c r="L17" s="227">
        <v>1607845</v>
      </c>
      <c r="M17" s="228">
        <v>3.5</v>
      </c>
      <c r="N17" s="142">
        <f t="shared" si="1"/>
        <v>482758.60499999998</v>
      </c>
      <c r="O17" s="229">
        <f>IFERROR(IF(($N$4-VLOOKUP(REGISTRO_MAESTRO_m3!X17,DISTRIBUCION_CONTENEDORES!$A$3:$D$530,2) ) &lt; 0,0,($N$4-VLOOKUP(X17,DISTRIBUCION_CONTENEDORES!$A$3:$D$530,2) ) * (M17/VLOOKUP(X17,DISTRIBUCION_CONTENEDORES!$A$3:$D$530,2))),0) *$N$5</f>
        <v>1163331.8764814814</v>
      </c>
      <c r="P17" s="230">
        <f t="shared" si="2"/>
        <v>1646090.4814814813</v>
      </c>
      <c r="Q17" s="226">
        <f t="shared" si="3"/>
        <v>38245.481481481344</v>
      </c>
      <c r="R17" s="231">
        <f t="shared" si="4"/>
        <v>0</v>
      </c>
      <c r="S17" s="239">
        <v>0</v>
      </c>
      <c r="T17" s="233">
        <f t="shared" si="5"/>
        <v>0.27727974975233161</v>
      </c>
      <c r="U17" s="234">
        <f t="shared" si="6"/>
        <v>38245.481481481344</v>
      </c>
      <c r="V17" s="235">
        <f t="shared" si="7"/>
        <v>58.390048063330298</v>
      </c>
      <c r="W17" s="236">
        <f t="shared" si="8"/>
        <v>965.51724137931046</v>
      </c>
      <c r="X17" s="237">
        <v>3</v>
      </c>
      <c r="Y17" s="238">
        <v>0</v>
      </c>
      <c r="Z17" s="238">
        <f t="shared" si="9"/>
        <v>0</v>
      </c>
    </row>
    <row r="18" spans="1:26" s="77" customFormat="1" x14ac:dyDescent="0.35">
      <c r="A18" s="221">
        <v>5</v>
      </c>
      <c r="B18" s="222">
        <v>25160</v>
      </c>
      <c r="C18" s="223">
        <v>9301</v>
      </c>
      <c r="D18" s="223" t="s">
        <v>368</v>
      </c>
      <c r="E18" s="223" t="s">
        <v>331</v>
      </c>
      <c r="F18" s="224">
        <v>72050628852</v>
      </c>
      <c r="G18" s="225" t="s">
        <v>330</v>
      </c>
      <c r="H18" s="225">
        <v>43282</v>
      </c>
      <c r="I18" s="224" t="s">
        <v>335</v>
      </c>
      <c r="J18" s="226">
        <v>950</v>
      </c>
      <c r="K18" s="244">
        <v>44369</v>
      </c>
      <c r="L18" s="227">
        <v>321932.5</v>
      </c>
      <c r="M18" s="228">
        <v>4.7</v>
      </c>
      <c r="N18" s="240">
        <f t="shared" si="1"/>
        <v>648275.84100000001</v>
      </c>
      <c r="O18" s="241">
        <f>IFERROR(IF(($N$4-VLOOKUP(REGISTRO_MAESTRO_m3!X18,DISTRIBUCION_CONTENEDORES!$A$3:$D$530,2) ) &lt; 0,0,($N$4-VLOOKUP(X18,DISTRIBUCION_CONTENEDORES!$A$3:$D$530,2) ) * (M18/VLOOKUP(X18,DISTRIBUCION_CONTENEDORES!$A$3:$D$530,2))),0) *$N$5</f>
        <v>1562188.5198465607</v>
      </c>
      <c r="P18" s="242">
        <f t="shared" si="2"/>
        <v>2210464.3608465604</v>
      </c>
      <c r="Q18" s="243">
        <f t="shared" si="3"/>
        <v>1888531.8608465604</v>
      </c>
      <c r="R18" s="231">
        <f t="shared" si="4"/>
        <v>0</v>
      </c>
      <c r="S18" s="239">
        <v>0</v>
      </c>
      <c r="T18" s="233">
        <f t="shared" si="5"/>
        <v>13.691856436122897</v>
      </c>
      <c r="U18" s="234">
        <f t="shared" si="6"/>
        <v>1888531.8608465604</v>
      </c>
      <c r="V18" s="235">
        <f t="shared" si="7"/>
        <v>2883.2547493840616</v>
      </c>
      <c r="W18" s="236">
        <f t="shared" si="8"/>
        <v>1296.5517241379312</v>
      </c>
      <c r="X18" s="237">
        <v>3</v>
      </c>
      <c r="Y18" s="238">
        <v>0</v>
      </c>
      <c r="Z18" s="238">
        <f t="shared" si="9"/>
        <v>0</v>
      </c>
    </row>
    <row r="19" spans="1:26" x14ac:dyDescent="0.35">
      <c r="A19" s="176">
        <v>6</v>
      </c>
      <c r="B19" s="177">
        <v>15727</v>
      </c>
      <c r="C19" s="178">
        <v>9410</v>
      </c>
      <c r="D19" s="223" t="s">
        <v>369</v>
      </c>
      <c r="E19" s="223" t="s">
        <v>331</v>
      </c>
      <c r="F19" s="179">
        <v>86111716100</v>
      </c>
      <c r="G19" s="225" t="s">
        <v>330</v>
      </c>
      <c r="H19" s="206">
        <v>44197</v>
      </c>
      <c r="I19" s="224" t="s">
        <v>336</v>
      </c>
      <c r="J19" s="190">
        <v>652</v>
      </c>
      <c r="K19" s="244">
        <v>44369</v>
      </c>
      <c r="L19" s="202">
        <v>0</v>
      </c>
      <c r="M19" s="200">
        <v>0.36</v>
      </c>
      <c r="N19" s="24">
        <f t="shared" si="1"/>
        <v>49655.1708</v>
      </c>
      <c r="O19" s="196">
        <f>IFERROR(IF(($N$4-VLOOKUP(REGISTRO_MAESTRO_m3!X19,DISTRIBUCION_CONTENEDORES!$A$3:$D$530,2) ) &lt; 0,0,($N$4-VLOOKUP(X19,DISTRIBUCION_CONTENEDORES!$A$3:$D$530,2) ) * (M19/VLOOKUP(X19,DISTRIBUCION_CONTENEDORES!$A$3:$D$530,2))),0) *$N$5</f>
        <v>113517.62842946172</v>
      </c>
      <c r="P19" s="194">
        <f t="shared" si="2"/>
        <v>163172.79922946173</v>
      </c>
      <c r="Q19" s="190">
        <f t="shared" si="3"/>
        <v>163172.79922946173</v>
      </c>
      <c r="R19" s="188">
        <f t="shared" si="4"/>
        <v>0.33695584710106502</v>
      </c>
      <c r="S19" s="213">
        <v>46476.667055172409</v>
      </c>
      <c r="T19" s="191">
        <f t="shared" si="5"/>
        <v>0.8460469857601246</v>
      </c>
      <c r="U19" s="187">
        <f t="shared" si="6"/>
        <v>116696.13217428932</v>
      </c>
      <c r="V19" s="203">
        <f t="shared" si="7"/>
        <v>178.16203385387684</v>
      </c>
      <c r="W19" s="56">
        <f t="shared" si="8"/>
        <v>99.310344827586206</v>
      </c>
      <c r="X19" s="207">
        <v>1</v>
      </c>
      <c r="Y19" s="189">
        <v>0</v>
      </c>
      <c r="Z19" s="189">
        <f t="shared" si="9"/>
        <v>0</v>
      </c>
    </row>
    <row r="20" spans="1:26" x14ac:dyDescent="0.35">
      <c r="A20" s="176">
        <v>7</v>
      </c>
      <c r="B20" s="177">
        <v>21401</v>
      </c>
      <c r="C20" s="178">
        <v>9301</v>
      </c>
      <c r="D20" s="223" t="s">
        <v>370</v>
      </c>
      <c r="E20" s="223" t="s">
        <v>331</v>
      </c>
      <c r="F20" s="179">
        <v>67092033228</v>
      </c>
      <c r="G20" s="225" t="s">
        <v>330</v>
      </c>
      <c r="H20" s="206">
        <v>43313</v>
      </c>
      <c r="I20" s="224" t="s">
        <v>337</v>
      </c>
      <c r="J20" s="190">
        <v>1200</v>
      </c>
      <c r="K20" s="244">
        <v>44370</v>
      </c>
      <c r="L20" s="202">
        <v>0</v>
      </c>
      <c r="M20" s="200">
        <v>0</v>
      </c>
      <c r="N20" s="24">
        <f t="shared" si="1"/>
        <v>0</v>
      </c>
      <c r="O20" s="196">
        <f>IFERROR(IF(($N$4-VLOOKUP(REGISTRO_MAESTRO_m3!X20,DISTRIBUCION_CONTENEDORES!$A$3:$D$530,2) ) &lt; 0,0,($N$4-VLOOKUP(X20,DISTRIBUCION_CONTENEDORES!$A$3:$D$530,2) ) * (M20/VLOOKUP(X20,DISTRIBUCION_CONTENEDORES!$A$3:$D$530,2))),0) *$N$5</f>
        <v>0</v>
      </c>
      <c r="P20" s="194">
        <f t="shared" si="2"/>
        <v>0</v>
      </c>
      <c r="Q20" s="190">
        <f t="shared" si="3"/>
        <v>0</v>
      </c>
      <c r="R20" s="188">
        <f t="shared" si="4"/>
        <v>0</v>
      </c>
      <c r="S20" s="213">
        <v>0</v>
      </c>
      <c r="T20" s="191">
        <f t="shared" si="5"/>
        <v>0</v>
      </c>
      <c r="U20" s="187">
        <f t="shared" si="6"/>
        <v>0</v>
      </c>
      <c r="V20" s="203">
        <f t="shared" si="7"/>
        <v>0</v>
      </c>
      <c r="W20" s="56">
        <f t="shared" si="8"/>
        <v>0</v>
      </c>
      <c r="X20" s="207">
        <v>0</v>
      </c>
      <c r="Y20" s="189">
        <v>0</v>
      </c>
      <c r="Z20" s="189">
        <f t="shared" si="9"/>
        <v>0</v>
      </c>
    </row>
    <row r="21" spans="1:26" x14ac:dyDescent="0.35">
      <c r="A21" s="176">
        <v>8</v>
      </c>
      <c r="B21" s="177">
        <v>16172</v>
      </c>
      <c r="C21" s="178">
        <v>9301</v>
      </c>
      <c r="D21" s="223" t="s">
        <v>371</v>
      </c>
      <c r="E21" s="223" t="s">
        <v>331</v>
      </c>
      <c r="F21" s="179">
        <v>62030124717</v>
      </c>
      <c r="G21" s="225" t="s">
        <v>330</v>
      </c>
      <c r="H21" s="206">
        <v>43313</v>
      </c>
      <c r="I21" s="224" t="s">
        <v>338</v>
      </c>
      <c r="J21" s="190">
        <v>1200</v>
      </c>
      <c r="K21" s="244">
        <v>44369</v>
      </c>
      <c r="L21" s="202">
        <v>0</v>
      </c>
      <c r="M21" s="200">
        <v>5.63</v>
      </c>
      <c r="N21" s="24">
        <f t="shared" si="1"/>
        <v>776551.69889999996</v>
      </c>
      <c r="O21" s="196">
        <f>IFERROR(IF(($N$4-VLOOKUP(REGISTRO_MAESTRO_m3!X21,DISTRIBUCION_CONTENEDORES!$A$3:$D$530,2) ) &lt; 0,0,($N$4-VLOOKUP(X21,DISTRIBUCION_CONTENEDORES!$A$3:$D$530,2) ) * (ROUND(M21/VLOOKUP(X21,DISTRIBUCION_CONTENEDORES!$A$3:$D$530,2),5))),0) *$N$5</f>
        <v>885444.79880924989</v>
      </c>
      <c r="P21" s="194">
        <f t="shared" si="2"/>
        <v>1661996.4977092498</v>
      </c>
      <c r="Q21" s="190">
        <f t="shared" si="3"/>
        <v>1661996.4977092498</v>
      </c>
      <c r="R21" s="188">
        <f t="shared" si="4"/>
        <v>5.3080537326159325</v>
      </c>
      <c r="S21" s="213">
        <v>732145.3186350601</v>
      </c>
      <c r="T21" s="191"/>
      <c r="U21" s="187">
        <f t="shared" si="6"/>
        <v>929851.17907418974</v>
      </c>
      <c r="V21" s="203">
        <f t="shared" si="7"/>
        <v>1419.6201207239537</v>
      </c>
      <c r="W21" s="56">
        <f t="shared" si="8"/>
        <v>1553.1034482758621</v>
      </c>
      <c r="X21" s="207">
        <v>2</v>
      </c>
      <c r="Y21" s="189">
        <v>0</v>
      </c>
      <c r="Z21" s="189">
        <f t="shared" si="9"/>
        <v>0</v>
      </c>
    </row>
    <row r="22" spans="1:26" s="287" customFormat="1" x14ac:dyDescent="0.35">
      <c r="A22" s="267">
        <v>9</v>
      </c>
      <c r="B22" s="268">
        <v>21708</v>
      </c>
      <c r="C22" s="269">
        <v>9301</v>
      </c>
      <c r="D22" s="269" t="s">
        <v>372</v>
      </c>
      <c r="E22" s="223" t="s">
        <v>331</v>
      </c>
      <c r="F22" s="270">
        <v>58061607574</v>
      </c>
      <c r="G22" s="225" t="s">
        <v>330</v>
      </c>
      <c r="H22" s="271">
        <v>42856</v>
      </c>
      <c r="I22" s="224" t="s">
        <v>339</v>
      </c>
      <c r="J22" s="272">
        <v>600</v>
      </c>
      <c r="K22" s="273">
        <v>44369</v>
      </c>
      <c r="L22" s="274">
        <v>675010</v>
      </c>
      <c r="M22" s="275">
        <v>4.58</v>
      </c>
      <c r="N22" s="276">
        <f t="shared" si="1"/>
        <v>631724.11739999999</v>
      </c>
      <c r="O22" s="277">
        <f>IFERROR(IF(($N$4-VLOOKUP(REGISTRO_MAESTRO_m3!X22,DISTRIBUCION_CONTENEDORES!$A$3:$D$530,2) ) &lt; 0,0,($N$4-VLOOKUP(X22,DISTRIBUCION_CONTENEDORES!$A$3:$D$530,2) ) * (M22/VLOOKUP(X22,DISTRIBUCION_CONTENEDORES!$A$3:$D$530,2))),0) *$N$5</f>
        <v>1444196.4950192629</v>
      </c>
      <c r="P22" s="278">
        <f t="shared" si="2"/>
        <v>2075920.612419263</v>
      </c>
      <c r="Q22" s="272">
        <f t="shared" si="3"/>
        <v>1400910.612419263</v>
      </c>
      <c r="R22" s="279">
        <f t="shared" si="4"/>
        <v>4.2868270685718795</v>
      </c>
      <c r="S22" s="280">
        <v>591286.473</v>
      </c>
      <c r="T22" s="281">
        <f t="shared" si="5"/>
        <v>5.869775201557351</v>
      </c>
      <c r="U22" s="282">
        <f t="shared" si="6"/>
        <v>809624.139419263</v>
      </c>
      <c r="V22" s="283">
        <f t="shared" si="7"/>
        <v>1236.0673884263558</v>
      </c>
      <c r="W22" s="284">
        <f t="shared" si="8"/>
        <v>1263.4482758620691</v>
      </c>
      <c r="X22" s="285">
        <v>1</v>
      </c>
      <c r="Y22" s="286">
        <v>0</v>
      </c>
      <c r="Z22" s="286">
        <f t="shared" si="9"/>
        <v>0</v>
      </c>
    </row>
    <row r="23" spans="1:26" s="287" customFormat="1" x14ac:dyDescent="0.35">
      <c r="A23" s="267">
        <v>10</v>
      </c>
      <c r="B23" s="268">
        <v>24207</v>
      </c>
      <c r="C23" s="269">
        <v>9301</v>
      </c>
      <c r="D23" s="269" t="s">
        <v>373</v>
      </c>
      <c r="E23" s="223" t="s">
        <v>331</v>
      </c>
      <c r="F23" s="270">
        <v>70042500733</v>
      </c>
      <c r="G23" s="225" t="s">
        <v>330</v>
      </c>
      <c r="H23" s="271">
        <v>43344</v>
      </c>
      <c r="I23" s="224" t="s">
        <v>340</v>
      </c>
      <c r="J23" s="272">
        <v>1200</v>
      </c>
      <c r="K23" s="273">
        <v>44369</v>
      </c>
      <c r="L23" s="274">
        <v>1677289</v>
      </c>
      <c r="M23" s="275">
        <v>3.85</v>
      </c>
      <c r="N23" s="276">
        <f t="shared" si="1"/>
        <v>531034.46550000005</v>
      </c>
      <c r="O23" s="277">
        <f>IFERROR(IF(($N$4-VLOOKUP(REGISTRO_MAESTRO_m3!X23,DISTRIBUCION_CONTENEDORES!$A$3:$D$530,2) ) &lt; 0,0,($N$4-VLOOKUP(X23,DISTRIBUCION_CONTENEDORES!$A$3:$D$530,2) ) * (M23/VLOOKUP(X23,DISTRIBUCION_CONTENEDORES!$A$3:$D$530,2))),0) *$N$5</f>
        <v>1214007.9707039658</v>
      </c>
      <c r="P23" s="278">
        <f t="shared" si="2"/>
        <v>1745042.4362039659</v>
      </c>
      <c r="Q23" s="272">
        <f t="shared" si="3"/>
        <v>67753.436203965917</v>
      </c>
      <c r="R23" s="279">
        <f t="shared" si="4"/>
        <v>3.6035555052405543</v>
      </c>
      <c r="S23" s="280">
        <v>497042.12250000006</v>
      </c>
      <c r="T23" s="281">
        <f t="shared" si="5"/>
        <v>-3.1123430767973974</v>
      </c>
      <c r="U23" s="282">
        <f t="shared" si="6"/>
        <v>-429288.68629603414</v>
      </c>
      <c r="V23" s="283">
        <f t="shared" si="7"/>
        <v>-655.40257449776209</v>
      </c>
      <c r="W23" s="284">
        <f t="shared" si="8"/>
        <v>1062.0689655172414</v>
      </c>
      <c r="X23" s="285">
        <v>1</v>
      </c>
      <c r="Y23" s="286">
        <v>0</v>
      </c>
      <c r="Z23" s="286">
        <f t="shared" si="9"/>
        <v>0</v>
      </c>
    </row>
    <row r="24" spans="1:26" x14ac:dyDescent="0.35">
      <c r="A24" s="176">
        <v>11</v>
      </c>
      <c r="B24" s="177">
        <v>25484</v>
      </c>
      <c r="C24" s="178">
        <v>9301</v>
      </c>
      <c r="D24" s="223" t="s">
        <v>374</v>
      </c>
      <c r="E24" s="223" t="s">
        <v>331</v>
      </c>
      <c r="F24" s="179">
        <v>74041114658</v>
      </c>
      <c r="G24" s="225" t="s">
        <v>330</v>
      </c>
      <c r="H24" s="206">
        <v>43313</v>
      </c>
      <c r="I24" s="224" t="s">
        <v>341</v>
      </c>
      <c r="J24" s="190">
        <v>950</v>
      </c>
      <c r="K24" s="244">
        <v>44369</v>
      </c>
      <c r="L24" s="202">
        <v>0</v>
      </c>
      <c r="M24" s="200">
        <v>4.13</v>
      </c>
      <c r="N24" s="24">
        <f t="shared" si="1"/>
        <v>569655.15390000003</v>
      </c>
      <c r="O24" s="196">
        <f>IFERROR(IF(($N$4-VLOOKUP(REGISTRO_MAESTRO_m3!X24,DISTRIBUCION_CONTENEDORES!$A$3:$D$530,2) ) &lt; 0,0,($N$4-VLOOKUP(X24,DISTRIBUCION_CONTENEDORES!$A$3:$D$530,2) ) * (ROUND(M24/VLOOKUP(X24,DISTRIBUCION_CONTENEDORES!$A$3:$D$530,2),5))),0) *$N$5</f>
        <v>649539.28923479991</v>
      </c>
      <c r="P24" s="194">
        <f t="shared" si="2"/>
        <v>1219194.4431348001</v>
      </c>
      <c r="Q24" s="190">
        <f t="shared" si="3"/>
        <v>1219194.4431348001</v>
      </c>
      <c r="R24" s="188">
        <f t="shared" si="4"/>
        <v>0</v>
      </c>
      <c r="S24" s="213">
        <v>0</v>
      </c>
      <c r="T24" s="191">
        <f t="shared" si="5"/>
        <v>8.8391599999999997</v>
      </c>
      <c r="U24" s="187">
        <f t="shared" si="6"/>
        <v>1219194.4431348001</v>
      </c>
      <c r="V24" s="203">
        <f t="shared" si="7"/>
        <v>1861.3655620378627</v>
      </c>
      <c r="W24" s="56">
        <f t="shared" si="8"/>
        <v>1139.3103448275863</v>
      </c>
      <c r="X24" s="207">
        <v>2</v>
      </c>
      <c r="Y24" s="189">
        <v>0</v>
      </c>
      <c r="Z24" s="189">
        <f t="shared" si="9"/>
        <v>0</v>
      </c>
    </row>
    <row r="25" spans="1:26" x14ac:dyDescent="0.35">
      <c r="A25" s="176">
        <v>12</v>
      </c>
      <c r="B25" s="177">
        <v>25295</v>
      </c>
      <c r="C25" s="178">
        <v>9301</v>
      </c>
      <c r="D25" s="223" t="s">
        <v>375</v>
      </c>
      <c r="E25" s="223" t="s">
        <v>331</v>
      </c>
      <c r="F25" s="179">
        <v>81022806116</v>
      </c>
      <c r="G25" s="225" t="s">
        <v>330</v>
      </c>
      <c r="H25" s="206">
        <v>43252</v>
      </c>
      <c r="I25" s="224" t="s">
        <v>342</v>
      </c>
      <c r="J25" s="190">
        <v>1200</v>
      </c>
      <c r="K25" s="244">
        <v>44369</v>
      </c>
      <c r="L25" s="202">
        <v>1680519</v>
      </c>
      <c r="M25" s="200">
        <v>4.5</v>
      </c>
      <c r="N25" s="24">
        <f t="shared" si="1"/>
        <v>620689.63500000001</v>
      </c>
      <c r="O25" s="196">
        <f>IFERROR(IF(($N$4-VLOOKUP(REGISTRO_MAESTRO_m3!X25,DISTRIBUCION_CONTENEDORES!$A$3:$D$530,2) ) &lt; 0,0,($N$4-VLOOKUP(X25,DISTRIBUCION_CONTENEDORES!$A$3:$D$530,2) ) * (ROUND(M25/VLOOKUP(X25,DISTRIBUCION_CONTENEDORES!$A$3:$D$530,2),5))),0) *$N$5</f>
        <v>707716.52872334991</v>
      </c>
      <c r="P25" s="194">
        <f t="shared" si="2"/>
        <v>1328406.16372335</v>
      </c>
      <c r="Q25" s="190">
        <f t="shared" si="3"/>
        <v>-352112.83627664996</v>
      </c>
      <c r="R25" s="188">
        <f t="shared" si="4"/>
        <v>0</v>
      </c>
      <c r="S25" s="213">
        <v>0</v>
      </c>
      <c r="T25" s="191">
        <f t="shared" si="5"/>
        <v>0</v>
      </c>
      <c r="U25" s="187">
        <f t="shared" si="6"/>
        <v>0</v>
      </c>
      <c r="V25" s="203">
        <f t="shared" si="7"/>
        <v>0</v>
      </c>
      <c r="W25" s="56">
        <f t="shared" si="8"/>
        <v>1241.3793103448277</v>
      </c>
      <c r="X25" s="207">
        <v>2</v>
      </c>
      <c r="Y25" s="189">
        <v>0</v>
      </c>
      <c r="Z25" s="189">
        <f t="shared" si="9"/>
        <v>0</v>
      </c>
    </row>
    <row r="26" spans="1:26" x14ac:dyDescent="0.35">
      <c r="A26" s="176">
        <v>13</v>
      </c>
      <c r="B26" s="177">
        <v>25440</v>
      </c>
      <c r="C26" s="178">
        <v>9301</v>
      </c>
      <c r="D26" s="223" t="s">
        <v>376</v>
      </c>
      <c r="E26" s="223" t="s">
        <v>331</v>
      </c>
      <c r="F26" s="179">
        <v>76031900372</v>
      </c>
      <c r="G26" s="225" t="s">
        <v>330</v>
      </c>
      <c r="H26" s="206">
        <v>43252</v>
      </c>
      <c r="I26" s="224" t="s">
        <v>343</v>
      </c>
      <c r="J26" s="190">
        <v>1200</v>
      </c>
      <c r="K26" s="244">
        <v>44369</v>
      </c>
      <c r="L26" s="202">
        <v>1081626</v>
      </c>
      <c r="M26" s="200">
        <v>3.21</v>
      </c>
      <c r="N26" s="24">
        <f t="shared" si="1"/>
        <v>442758.60629999998</v>
      </c>
      <c r="O26" s="196">
        <f>IFERROR(IF(($N$4-VLOOKUP(REGISTRO_MAESTRO_m3!X26,DISTRIBUCION_CONTENEDORES!$A$3:$D$530,2) ) &lt; 0,0,($N$4-VLOOKUP(X26,DISTRIBUCION_CONTENEDORES!$A$3:$D$530,2) ) * (ROUND(M26/VLOOKUP(X26,DISTRIBUCION_CONTENEDORES!$A$3:$D$530,2),5))),0) *$N$5</f>
        <v>504842.05255814997</v>
      </c>
      <c r="P26" s="194">
        <f t="shared" si="2"/>
        <v>947600.65885815001</v>
      </c>
      <c r="Q26" s="190">
        <f t="shared" si="3"/>
        <v>-134025.34114184999</v>
      </c>
      <c r="R26" s="188">
        <f t="shared" si="4"/>
        <v>0</v>
      </c>
      <c r="S26" s="213">
        <v>0</v>
      </c>
      <c r="T26" s="191">
        <f t="shared" si="5"/>
        <v>0</v>
      </c>
      <c r="U26" s="187">
        <f t="shared" si="6"/>
        <v>0</v>
      </c>
      <c r="V26" s="203">
        <f t="shared" si="7"/>
        <v>0</v>
      </c>
      <c r="W26" s="56">
        <f t="shared" si="8"/>
        <v>885.51724137931046</v>
      </c>
      <c r="X26" s="207">
        <v>2</v>
      </c>
      <c r="Y26" s="189">
        <v>0</v>
      </c>
      <c r="Z26" s="189">
        <f t="shared" si="9"/>
        <v>0</v>
      </c>
    </row>
    <row r="27" spans="1:26" x14ac:dyDescent="0.35">
      <c r="A27" s="176">
        <v>14</v>
      </c>
      <c r="B27" s="177">
        <v>23656</v>
      </c>
      <c r="C27" s="178">
        <v>9301</v>
      </c>
      <c r="D27" s="223" t="s">
        <v>377</v>
      </c>
      <c r="E27" s="223" t="s">
        <v>331</v>
      </c>
      <c r="F27" s="179">
        <v>75041041579</v>
      </c>
      <c r="G27" s="225" t="s">
        <v>330</v>
      </c>
      <c r="H27" s="206">
        <v>43344</v>
      </c>
      <c r="I27" s="224" t="s">
        <v>344</v>
      </c>
      <c r="J27" s="190">
        <v>1200</v>
      </c>
      <c r="K27" s="244">
        <v>44370</v>
      </c>
      <c r="L27" s="202">
        <v>1081626</v>
      </c>
      <c r="M27" s="200">
        <v>0</v>
      </c>
      <c r="N27" s="24">
        <f t="shared" si="1"/>
        <v>0</v>
      </c>
      <c r="O27" s="196">
        <f>IFERROR(IF(($N$4-VLOOKUP(REGISTRO_MAESTRO_m3!X27,DISTRIBUCION_CONTENEDORES!$A$3:$D$530,2) ) &lt; 0,0,($N$4-VLOOKUP(X27,DISTRIBUCION_CONTENEDORES!$A$3:$D$530,2) ) * (M27/VLOOKUP(X27,DISTRIBUCION_CONTENEDORES!$A$3:$D$530,2))),0) *$N$5</f>
        <v>0</v>
      </c>
      <c r="P27" s="194">
        <f t="shared" si="2"/>
        <v>0</v>
      </c>
      <c r="Q27" s="190">
        <f t="shared" si="3"/>
        <v>-1081626</v>
      </c>
      <c r="R27" s="188">
        <f t="shared" si="4"/>
        <v>0</v>
      </c>
      <c r="S27" s="213">
        <v>0</v>
      </c>
      <c r="T27" s="191">
        <f t="shared" si="5"/>
        <v>0</v>
      </c>
      <c r="U27" s="187">
        <f t="shared" si="6"/>
        <v>0</v>
      </c>
      <c r="V27" s="203">
        <f t="shared" si="7"/>
        <v>0</v>
      </c>
      <c r="W27" s="56">
        <f t="shared" si="8"/>
        <v>0</v>
      </c>
      <c r="X27" s="207">
        <v>0</v>
      </c>
      <c r="Y27" s="189">
        <v>0</v>
      </c>
      <c r="Z27" s="189">
        <f t="shared" si="9"/>
        <v>0</v>
      </c>
    </row>
    <row r="28" spans="1:26" x14ac:dyDescent="0.35">
      <c r="A28" s="176">
        <v>15</v>
      </c>
      <c r="B28" s="177">
        <v>25471</v>
      </c>
      <c r="C28" s="178">
        <v>9301</v>
      </c>
      <c r="D28" s="223" t="s">
        <v>378</v>
      </c>
      <c r="E28" s="223" t="s">
        <v>331</v>
      </c>
      <c r="F28" s="179">
        <v>81112515243</v>
      </c>
      <c r="G28" s="225" t="s">
        <v>330</v>
      </c>
      <c r="H28" s="206">
        <v>43313</v>
      </c>
      <c r="I28" s="224" t="s">
        <v>345</v>
      </c>
      <c r="J28" s="190">
        <v>950</v>
      </c>
      <c r="K28" s="244">
        <v>44370</v>
      </c>
      <c r="L28" s="202">
        <v>1232029.5</v>
      </c>
      <c r="M28" s="200">
        <v>0</v>
      </c>
      <c r="N28" s="24">
        <f t="shared" si="1"/>
        <v>0</v>
      </c>
      <c r="O28" s="196">
        <f>IFERROR(IF(($N$4-VLOOKUP(REGISTRO_MAESTRO_m3!X28,DISTRIBUCION_CONTENEDORES!$A$3:$D$530,2) ) &lt; 0,0,($N$4-VLOOKUP(X28,DISTRIBUCION_CONTENEDORES!$A$3:$D$530,2) ) * (M28/VLOOKUP(X28,DISTRIBUCION_CONTENEDORES!$A$3:$D$530,2))),0) *$N$5</f>
        <v>0</v>
      </c>
      <c r="P28" s="194">
        <f t="shared" ref="P28:P46" si="10">N28+O28</f>
        <v>0</v>
      </c>
      <c r="Q28" s="190">
        <f t="shared" ref="Q28:Q46" si="11">P28-L28</f>
        <v>-1232029.5</v>
      </c>
      <c r="R28" s="188">
        <f t="shared" si="4"/>
        <v>0</v>
      </c>
      <c r="S28" s="213">
        <v>0</v>
      </c>
      <c r="T28" s="191">
        <f t="shared" si="5"/>
        <v>0</v>
      </c>
      <c r="U28" s="187">
        <f t="shared" ref="U28:U46" si="12">IF(Q28&lt; 0, 0, Q28-S28)</f>
        <v>0</v>
      </c>
      <c r="V28" s="203">
        <f t="shared" si="7"/>
        <v>0</v>
      </c>
      <c r="W28" s="56">
        <f t="shared" ref="W28:W46" si="13">M28*$N$8</f>
        <v>0</v>
      </c>
      <c r="X28" s="207">
        <v>0</v>
      </c>
      <c r="Y28" s="189">
        <v>0</v>
      </c>
      <c r="Z28" s="189">
        <f t="shared" si="9"/>
        <v>0</v>
      </c>
    </row>
    <row r="29" spans="1:26" x14ac:dyDescent="0.35">
      <c r="A29" s="176">
        <v>16</v>
      </c>
      <c r="B29" s="177">
        <v>23642</v>
      </c>
      <c r="C29" s="178">
        <v>9301</v>
      </c>
      <c r="D29" s="223" t="s">
        <v>379</v>
      </c>
      <c r="E29" s="223" t="s">
        <v>331</v>
      </c>
      <c r="F29" s="179">
        <v>55121828998</v>
      </c>
      <c r="G29" s="225" t="s">
        <v>330</v>
      </c>
      <c r="H29" s="206">
        <v>43160</v>
      </c>
      <c r="I29" s="224" t="s">
        <v>346</v>
      </c>
      <c r="J29" s="190">
        <v>778</v>
      </c>
      <c r="K29" s="244">
        <v>44370</v>
      </c>
      <c r="L29" s="202">
        <v>884974.5</v>
      </c>
      <c r="M29" s="200">
        <v>0</v>
      </c>
      <c r="N29" s="24">
        <f t="shared" si="1"/>
        <v>0</v>
      </c>
      <c r="O29" s="196">
        <f>IFERROR(IF(($N$4-VLOOKUP(REGISTRO_MAESTRO_m3!X29,DISTRIBUCION_CONTENEDORES!$A$3:$D$530,2) ) &lt; 0,0,($N$4-VLOOKUP(X29,DISTRIBUCION_CONTENEDORES!$A$3:$D$530,2) ) * (M29/VLOOKUP(X29,DISTRIBUCION_CONTENEDORES!$A$3:$D$530,2))),0) *$N$5</f>
        <v>0</v>
      </c>
      <c r="P29" s="194">
        <f t="shared" si="10"/>
        <v>0</v>
      </c>
      <c r="Q29" s="190">
        <f t="shared" si="11"/>
        <v>-884974.5</v>
      </c>
      <c r="R29" s="188">
        <f t="shared" si="4"/>
        <v>0</v>
      </c>
      <c r="S29" s="213">
        <v>0</v>
      </c>
      <c r="T29" s="191">
        <f t="shared" si="5"/>
        <v>0</v>
      </c>
      <c r="U29" s="187">
        <f t="shared" si="12"/>
        <v>0</v>
      </c>
      <c r="V29" s="203">
        <f t="shared" si="7"/>
        <v>0</v>
      </c>
      <c r="W29" s="56">
        <f t="shared" si="13"/>
        <v>0</v>
      </c>
      <c r="X29" s="207">
        <v>0</v>
      </c>
      <c r="Y29" s="189">
        <v>0</v>
      </c>
      <c r="Z29" s="189">
        <f t="shared" si="9"/>
        <v>0</v>
      </c>
    </row>
    <row r="30" spans="1:26" x14ac:dyDescent="0.35">
      <c r="A30" s="176">
        <v>17</v>
      </c>
      <c r="B30" s="177">
        <v>25167</v>
      </c>
      <c r="C30" s="178">
        <v>9421</v>
      </c>
      <c r="D30" s="223" t="s">
        <v>380</v>
      </c>
      <c r="E30" s="223" t="s">
        <v>331</v>
      </c>
      <c r="F30" s="179">
        <v>63121716963</v>
      </c>
      <c r="G30" s="225" t="s">
        <v>330</v>
      </c>
      <c r="H30" s="206">
        <v>43258</v>
      </c>
      <c r="I30" s="224" t="s">
        <v>347</v>
      </c>
      <c r="J30" s="190">
        <v>612</v>
      </c>
      <c r="K30" s="244">
        <v>44370</v>
      </c>
      <c r="L30" s="202">
        <v>421382</v>
      </c>
      <c r="M30" s="200">
        <v>0</v>
      </c>
      <c r="N30" s="24">
        <f t="shared" si="1"/>
        <v>0</v>
      </c>
      <c r="O30" s="196">
        <f>IFERROR(IF(($N$4-VLOOKUP(REGISTRO_MAESTRO_m3!X30,DISTRIBUCION_CONTENEDORES!$A$3:$D$530,2) ) &lt; 0,0,($N$4-VLOOKUP(X30,DISTRIBUCION_CONTENEDORES!$A$3:$D$530,2) ) * (M30/VLOOKUP(X30,DISTRIBUCION_CONTENEDORES!$A$3:$D$530,2))),0) *$N$5</f>
        <v>0</v>
      </c>
      <c r="P30" s="194">
        <f t="shared" si="10"/>
        <v>0</v>
      </c>
      <c r="Q30" s="190">
        <f t="shared" si="11"/>
        <v>-421382</v>
      </c>
      <c r="R30" s="188">
        <f t="shared" si="4"/>
        <v>0</v>
      </c>
      <c r="S30" s="213">
        <v>0</v>
      </c>
      <c r="T30" s="191">
        <f t="shared" si="5"/>
        <v>0</v>
      </c>
      <c r="U30" s="187">
        <f t="shared" si="12"/>
        <v>0</v>
      </c>
      <c r="V30" s="203">
        <f t="shared" si="7"/>
        <v>0</v>
      </c>
      <c r="W30" s="56">
        <f t="shared" si="13"/>
        <v>0</v>
      </c>
      <c r="X30" s="207">
        <v>0</v>
      </c>
      <c r="Y30" s="189">
        <v>0</v>
      </c>
      <c r="Z30" s="189">
        <f t="shared" si="9"/>
        <v>0</v>
      </c>
    </row>
    <row r="31" spans="1:26" x14ac:dyDescent="0.35">
      <c r="A31" s="176">
        <v>18</v>
      </c>
      <c r="B31" s="177">
        <v>24079</v>
      </c>
      <c r="C31" s="178">
        <v>9301</v>
      </c>
      <c r="D31" s="223" t="s">
        <v>381</v>
      </c>
      <c r="E31" s="223" t="s">
        <v>331</v>
      </c>
      <c r="F31" s="179">
        <v>68121907878</v>
      </c>
      <c r="G31" s="225" t="s">
        <v>330</v>
      </c>
      <c r="H31" s="206">
        <v>42795</v>
      </c>
      <c r="I31" s="224" t="s">
        <v>348</v>
      </c>
      <c r="J31" s="190">
        <v>1200</v>
      </c>
      <c r="K31" s="244">
        <v>44369</v>
      </c>
      <c r="L31" s="202">
        <v>1171546</v>
      </c>
      <c r="M31" s="200">
        <v>6.41</v>
      </c>
      <c r="N31" s="24">
        <f t="shared" si="1"/>
        <v>884137.90229999996</v>
      </c>
      <c r="O31" s="196">
        <f>IFERROR(IF(($N$4-VLOOKUP(REGISTRO_MAESTRO_m3!X31,DISTRIBUCION_CONTENEDORES!$A$3:$D$530,2) ) &lt; 0,0,($N$4-VLOOKUP(X31,DISTRIBUCION_CONTENEDORES!$A$3:$D$530,2) ) * (ROUND(M31/VLOOKUP(X31,DISTRIBUCION_CONTENEDORES!$A$3:$D$530,2),5))),0) *$N$5</f>
        <v>1008107.1396503099</v>
      </c>
      <c r="P31" s="194">
        <f t="shared" si="10"/>
        <v>1892245.0419503099</v>
      </c>
      <c r="Q31" s="190">
        <f t="shared" si="11"/>
        <v>720699.04195030988</v>
      </c>
      <c r="R31" s="188">
        <f t="shared" si="4"/>
        <v>0</v>
      </c>
      <c r="S31" s="213">
        <v>0</v>
      </c>
      <c r="T31" s="191">
        <f t="shared" si="5"/>
        <v>5.2250682239544641</v>
      </c>
      <c r="U31" s="187">
        <f t="shared" si="12"/>
        <v>720699.04195030988</v>
      </c>
      <c r="V31" s="203">
        <f t="shared" si="7"/>
        <v>1100.3038808401677</v>
      </c>
      <c r="W31" s="56">
        <f t="shared" si="13"/>
        <v>1768.2758620689658</v>
      </c>
      <c r="X31" s="207">
        <v>2</v>
      </c>
      <c r="Y31" s="189">
        <v>0</v>
      </c>
      <c r="Z31" s="189">
        <f t="shared" si="9"/>
        <v>0</v>
      </c>
    </row>
    <row r="32" spans="1:26" x14ac:dyDescent="0.35">
      <c r="A32" s="176">
        <v>19</v>
      </c>
      <c r="B32" s="177">
        <v>24715</v>
      </c>
      <c r="C32" s="178">
        <v>9301</v>
      </c>
      <c r="D32" s="223" t="s">
        <v>382</v>
      </c>
      <c r="E32" s="223" t="s">
        <v>331</v>
      </c>
      <c r="F32" s="179">
        <v>71012801815</v>
      </c>
      <c r="G32" s="225" t="s">
        <v>330</v>
      </c>
      <c r="H32" s="206">
        <v>43551</v>
      </c>
      <c r="I32" s="224" t="s">
        <v>349</v>
      </c>
      <c r="J32" s="190">
        <v>1200</v>
      </c>
      <c r="K32" s="244">
        <v>44370</v>
      </c>
      <c r="L32" s="202">
        <v>1680519</v>
      </c>
      <c r="M32" s="200">
        <v>0</v>
      </c>
      <c r="N32" s="24">
        <f t="shared" si="1"/>
        <v>0</v>
      </c>
      <c r="O32" s="196">
        <f>IFERROR(IF(($N$4-VLOOKUP(REGISTRO_MAESTRO_m3!X32,DISTRIBUCION_CONTENEDORES!$A$3:$D$530,2) ) &lt; 0,0,($N$4-VLOOKUP(X32,DISTRIBUCION_CONTENEDORES!$A$3:$D$530,2) ) * (M32/VLOOKUP(X32,DISTRIBUCION_CONTENEDORES!$A$3:$D$530,2))),0) *$N$5</f>
        <v>0</v>
      </c>
      <c r="P32" s="194">
        <f t="shared" si="10"/>
        <v>0</v>
      </c>
      <c r="Q32" s="190">
        <f t="shared" si="11"/>
        <v>-1680519</v>
      </c>
      <c r="R32" s="188">
        <f t="shared" si="4"/>
        <v>0</v>
      </c>
      <c r="S32" s="213">
        <v>0</v>
      </c>
      <c r="T32" s="191">
        <f t="shared" si="5"/>
        <v>0</v>
      </c>
      <c r="U32" s="187">
        <f t="shared" si="12"/>
        <v>0</v>
      </c>
      <c r="V32" s="203">
        <f t="shared" si="7"/>
        <v>0</v>
      </c>
      <c r="W32" s="56">
        <f t="shared" si="13"/>
        <v>0</v>
      </c>
      <c r="X32" s="207">
        <v>0</v>
      </c>
      <c r="Y32" s="189">
        <v>0</v>
      </c>
      <c r="Z32" s="189">
        <f t="shared" si="9"/>
        <v>0</v>
      </c>
    </row>
    <row r="33" spans="1:26" s="77" customFormat="1" x14ac:dyDescent="0.35">
      <c r="A33" s="221">
        <v>20</v>
      </c>
      <c r="B33" s="222">
        <v>24503</v>
      </c>
      <c r="C33" s="223">
        <v>9301</v>
      </c>
      <c r="D33" s="223" t="s">
        <v>383</v>
      </c>
      <c r="E33" s="223" t="s">
        <v>331</v>
      </c>
      <c r="F33" s="224">
        <v>61012708433</v>
      </c>
      <c r="G33" s="225" t="s">
        <v>330</v>
      </c>
      <c r="H33" s="225">
        <v>42948</v>
      </c>
      <c r="I33" s="224" t="s">
        <v>350</v>
      </c>
      <c r="J33" s="226">
        <v>1200</v>
      </c>
      <c r="K33" s="244">
        <v>44369</v>
      </c>
      <c r="L33" s="227">
        <v>1116500</v>
      </c>
      <c r="M33" s="228">
        <v>4.21</v>
      </c>
      <c r="N33" s="142">
        <f t="shared" si="1"/>
        <v>580689.63630000001</v>
      </c>
      <c r="O33" s="229">
        <f>IFERROR(IF(($N$4-VLOOKUP(REGISTRO_MAESTRO_m3!X33,DISTRIBUCION_CONTENEDORES!$A$3:$D$530,2) ) &lt; 0,0,($N$4-VLOOKUP(X33,DISTRIBUCION_CONTENEDORES!$A$3:$D$530,2) ) * (M33/VLOOKUP(X33,DISTRIBUCION_CONTENEDORES!$A$3:$D$530,2))),0) *$N$5</f>
        <v>1399322.0571391529</v>
      </c>
      <c r="P33" s="230">
        <f t="shared" si="10"/>
        <v>1980011.693439153</v>
      </c>
      <c r="Q33" s="226">
        <f t="shared" si="11"/>
        <v>863511.69343915302</v>
      </c>
      <c r="R33" s="231">
        <f t="shared" si="4"/>
        <v>0</v>
      </c>
      <c r="S33" s="232">
        <v>0</v>
      </c>
      <c r="T33" s="233">
        <f t="shared" si="5"/>
        <v>6.2604599808988093</v>
      </c>
      <c r="U33" s="234">
        <f t="shared" si="12"/>
        <v>863511.69343915302</v>
      </c>
      <c r="V33" s="235">
        <f t="shared" si="7"/>
        <v>1318.3384632658824</v>
      </c>
      <c r="W33" s="236">
        <f t="shared" si="13"/>
        <v>1161.3793103448277</v>
      </c>
      <c r="X33" s="237">
        <v>3</v>
      </c>
      <c r="Y33" s="238">
        <v>0</v>
      </c>
      <c r="Z33" s="238">
        <f t="shared" si="9"/>
        <v>0</v>
      </c>
    </row>
    <row r="34" spans="1:26" x14ac:dyDescent="0.35">
      <c r="A34" s="176">
        <v>21</v>
      </c>
      <c r="B34" s="177">
        <v>27051</v>
      </c>
      <c r="C34" s="178">
        <v>9301</v>
      </c>
      <c r="D34" s="223" t="s">
        <v>384</v>
      </c>
      <c r="E34" s="223" t="s">
        <v>331</v>
      </c>
      <c r="F34" s="179">
        <v>66103122626</v>
      </c>
      <c r="G34" s="225" t="s">
        <v>330</v>
      </c>
      <c r="H34" s="206">
        <v>25569</v>
      </c>
      <c r="I34" s="224" t="s">
        <v>351</v>
      </c>
      <c r="J34" s="190">
        <v>950</v>
      </c>
      <c r="K34" s="244">
        <v>44370</v>
      </c>
      <c r="L34" s="202">
        <v>0</v>
      </c>
      <c r="M34" s="200">
        <v>0</v>
      </c>
      <c r="N34" s="24">
        <f t="shared" si="1"/>
        <v>0</v>
      </c>
      <c r="O34" s="196">
        <f>IFERROR(IF(($N$4-VLOOKUP(REGISTRO_MAESTRO_m3!X34,DISTRIBUCION_CONTENEDORES!$A$3:$D$530,2) ) &lt; 0,0,($N$4-VLOOKUP(X34,DISTRIBUCION_CONTENEDORES!$A$3:$D$530,2) ) * (M34/VLOOKUP(X34,DISTRIBUCION_CONTENEDORES!$A$3:$D$530,2))),0) *$N$5</f>
        <v>0</v>
      </c>
      <c r="P34" s="194">
        <f t="shared" si="10"/>
        <v>0</v>
      </c>
      <c r="Q34" s="190">
        <f t="shared" si="11"/>
        <v>0</v>
      </c>
      <c r="R34" s="188">
        <f t="shared" si="4"/>
        <v>0</v>
      </c>
      <c r="S34" s="213">
        <v>0</v>
      </c>
      <c r="T34" s="191">
        <f t="shared" si="5"/>
        <v>0</v>
      </c>
      <c r="U34" s="187">
        <f t="shared" si="12"/>
        <v>0</v>
      </c>
      <c r="V34" s="203">
        <f t="shared" si="7"/>
        <v>0</v>
      </c>
      <c r="W34" s="56">
        <f t="shared" si="13"/>
        <v>0</v>
      </c>
      <c r="X34" s="207">
        <v>0</v>
      </c>
      <c r="Y34" s="189">
        <v>0</v>
      </c>
      <c r="Z34" s="189">
        <f t="shared" si="9"/>
        <v>0</v>
      </c>
    </row>
    <row r="35" spans="1:26" x14ac:dyDescent="0.35">
      <c r="A35" s="176">
        <v>22</v>
      </c>
      <c r="B35" s="177">
        <v>24644</v>
      </c>
      <c r="C35" s="178">
        <v>9301</v>
      </c>
      <c r="D35" s="223" t="s">
        <v>385</v>
      </c>
      <c r="E35" s="223" t="s">
        <v>331</v>
      </c>
      <c r="F35" s="179">
        <v>84060209779</v>
      </c>
      <c r="G35" s="225" t="s">
        <v>330</v>
      </c>
      <c r="H35" s="206">
        <v>43405</v>
      </c>
      <c r="I35" s="224" t="s">
        <v>352</v>
      </c>
      <c r="J35" s="190">
        <v>1200</v>
      </c>
      <c r="K35" s="244">
        <v>44370</v>
      </c>
      <c r="L35" s="202">
        <v>1673969</v>
      </c>
      <c r="M35" s="200">
        <v>0</v>
      </c>
      <c r="N35" s="24">
        <f t="shared" si="1"/>
        <v>0</v>
      </c>
      <c r="O35" s="196">
        <f>IFERROR(IF(($N$4-VLOOKUP(REGISTRO_MAESTRO_m3!X35,DISTRIBUCION_CONTENEDORES!$A$3:$D$530,2) ) &lt; 0,0,($N$4-VLOOKUP(X35,DISTRIBUCION_CONTENEDORES!$A$3:$D$530,2) ) * (M35/VLOOKUP(X35,DISTRIBUCION_CONTENEDORES!$A$3:$D$530,2))),0) *$N$5</f>
        <v>0</v>
      </c>
      <c r="P35" s="194">
        <f t="shared" si="10"/>
        <v>0</v>
      </c>
      <c r="Q35" s="190">
        <f t="shared" si="11"/>
        <v>-1673969</v>
      </c>
      <c r="R35" s="188">
        <f t="shared" si="4"/>
        <v>0</v>
      </c>
      <c r="S35" s="213">
        <v>0</v>
      </c>
      <c r="T35" s="191">
        <f t="shared" si="5"/>
        <v>0</v>
      </c>
      <c r="U35" s="187">
        <f t="shared" si="12"/>
        <v>0</v>
      </c>
      <c r="V35" s="203">
        <f t="shared" si="7"/>
        <v>0</v>
      </c>
      <c r="W35" s="56">
        <f t="shared" si="13"/>
        <v>0</v>
      </c>
      <c r="X35" s="207">
        <v>0</v>
      </c>
      <c r="Y35" s="189">
        <v>0</v>
      </c>
      <c r="Z35" s="189">
        <f t="shared" si="9"/>
        <v>0</v>
      </c>
    </row>
    <row r="36" spans="1:26" x14ac:dyDescent="0.35">
      <c r="A36" s="176">
        <v>23</v>
      </c>
      <c r="B36" s="177">
        <v>23755</v>
      </c>
      <c r="C36" s="178">
        <v>9301</v>
      </c>
      <c r="D36" s="223" t="s">
        <v>386</v>
      </c>
      <c r="E36" s="223" t="s">
        <v>331</v>
      </c>
      <c r="F36" s="179">
        <v>80123106163</v>
      </c>
      <c r="G36" s="225" t="s">
        <v>330</v>
      </c>
      <c r="H36" s="206">
        <v>43627</v>
      </c>
      <c r="I36" s="224" t="s">
        <v>353</v>
      </c>
      <c r="J36" s="190">
        <v>1200</v>
      </c>
      <c r="K36" s="244">
        <v>44369</v>
      </c>
      <c r="L36" s="202">
        <v>1075127</v>
      </c>
      <c r="M36" s="200">
        <v>3.74</v>
      </c>
      <c r="N36" s="24">
        <f t="shared" si="1"/>
        <v>515862.05220000003</v>
      </c>
      <c r="O36" s="196">
        <f>IFERROR(IF(($N$4-VLOOKUP(REGISTRO_MAESTRO_m3!X36,DISTRIBUCION_CONTENEDORES!$A$3:$D$530,2) ) &lt; 0,0,($N$4-VLOOKUP(X36,DISTRIBUCION_CONTENEDORES!$A$3:$D$530,2) ) * (M36/VLOOKUP(X36,DISTRIBUCION_CONTENEDORES!$A$3:$D$530,2))),0) *$N$5</f>
        <v>1179322.0286838524</v>
      </c>
      <c r="P36" s="194">
        <f t="shared" si="10"/>
        <v>1695184.0808838524</v>
      </c>
      <c r="Q36" s="190">
        <f t="shared" si="11"/>
        <v>620057.08088385244</v>
      </c>
      <c r="R36" s="188">
        <f t="shared" si="4"/>
        <v>0</v>
      </c>
      <c r="S36" s="213">
        <v>0</v>
      </c>
      <c r="T36" s="191">
        <f t="shared" si="5"/>
        <v>4.495413982508885</v>
      </c>
      <c r="U36" s="187">
        <f t="shared" si="12"/>
        <v>620057.08088385244</v>
      </c>
      <c r="V36" s="203">
        <f t="shared" si="7"/>
        <v>946.65203188374414</v>
      </c>
      <c r="W36" s="56">
        <f t="shared" si="13"/>
        <v>1031.7241379310346</v>
      </c>
      <c r="X36" s="207">
        <v>1</v>
      </c>
      <c r="Y36" s="189">
        <v>0</v>
      </c>
      <c r="Z36" s="189">
        <f t="shared" si="9"/>
        <v>0</v>
      </c>
    </row>
    <row r="37" spans="1:26" x14ac:dyDescent="0.35">
      <c r="A37" s="176">
        <v>24</v>
      </c>
      <c r="B37" s="177">
        <v>26426</v>
      </c>
      <c r="C37" s="178">
        <v>9301</v>
      </c>
      <c r="D37" s="223" t="s">
        <v>387</v>
      </c>
      <c r="E37" s="223" t="s">
        <v>331</v>
      </c>
      <c r="F37" s="179">
        <v>82102231040</v>
      </c>
      <c r="G37" s="225" t="s">
        <v>330</v>
      </c>
      <c r="H37" s="206">
        <v>43678</v>
      </c>
      <c r="I37" s="224" t="s">
        <v>354</v>
      </c>
      <c r="J37" s="190">
        <v>1200</v>
      </c>
      <c r="K37" s="244">
        <v>44369</v>
      </c>
      <c r="L37" s="202">
        <v>1116500</v>
      </c>
      <c r="M37" s="200">
        <v>5.12</v>
      </c>
      <c r="N37" s="24">
        <f t="shared" si="1"/>
        <v>706206.87360000005</v>
      </c>
      <c r="O37" s="196">
        <f>IFERROR(IF(($N$4-VLOOKUP(REGISTRO_MAESTRO_m3!X37,DISTRIBUCION_CONTENEDORES!$A$3:$D$530,2) ) &lt; 0,0,($N$4-VLOOKUP(X37,DISTRIBUCION_CONTENEDORES!$A$3:$D$530,2) ) * (M37/VLOOKUP(X37,DISTRIBUCION_CONTENEDORES!$A$3:$D$530,2))),0) *$N$5</f>
        <v>1614472.9376634557</v>
      </c>
      <c r="P37" s="194">
        <f t="shared" si="10"/>
        <v>2320679.811263456</v>
      </c>
      <c r="Q37" s="190">
        <f t="shared" si="11"/>
        <v>1204179.811263456</v>
      </c>
      <c r="R37" s="188">
        <f t="shared" si="4"/>
        <v>0</v>
      </c>
      <c r="S37" s="213">
        <v>0</v>
      </c>
      <c r="T37" s="191">
        <f t="shared" si="5"/>
        <v>8.7303039153949342</v>
      </c>
      <c r="U37" s="187">
        <f t="shared" si="12"/>
        <v>1204179.811263456</v>
      </c>
      <c r="V37" s="203">
        <f t="shared" si="7"/>
        <v>1838.4424599442077</v>
      </c>
      <c r="W37" s="56">
        <f t="shared" si="13"/>
        <v>1412.4137931034484</v>
      </c>
      <c r="X37" s="207">
        <v>1</v>
      </c>
      <c r="Y37" s="189">
        <v>0</v>
      </c>
      <c r="Z37" s="189">
        <f t="shared" si="9"/>
        <v>0</v>
      </c>
    </row>
    <row r="38" spans="1:26" x14ac:dyDescent="0.35">
      <c r="A38" s="176">
        <v>70</v>
      </c>
      <c r="B38" s="177"/>
      <c r="C38" s="178"/>
      <c r="D38" s="178"/>
      <c r="E38" s="178"/>
      <c r="F38" s="179"/>
      <c r="G38" s="179"/>
      <c r="H38" s="206"/>
      <c r="I38" s="179"/>
      <c r="J38" s="179"/>
      <c r="K38" s="179"/>
      <c r="L38" s="202"/>
      <c r="M38" s="200">
        <v>0</v>
      </c>
      <c r="N38" s="24">
        <f t="shared" ref="N38:N98" si="14">PRODUCT(M38,$N$5)</f>
        <v>0</v>
      </c>
      <c r="O38" s="196">
        <f>IFERROR(IF(($N$4-VLOOKUP(REGISTRO_MAESTRO_m3!X38,DISTRIBUCION_CONTENEDORES!$A$3:$D$530,2) ) &lt; 0,0,($N$4-VLOOKUP(X38,DISTRIBUCION_CONTENEDORES!$A$3:$D$530,2) ) * (M38/VLOOKUP(X38,DISTRIBUCION_CONTENEDORES!$A$3:$D$530,2))),0) *$N$5</f>
        <v>0</v>
      </c>
      <c r="P38" s="194">
        <f t="shared" si="10"/>
        <v>0</v>
      </c>
      <c r="Q38" s="190">
        <f t="shared" si="11"/>
        <v>0</v>
      </c>
      <c r="R38" s="188">
        <f t="shared" ref="R38:R98" si="15">IFERROR(S38/$N$5,0)</f>
        <v>0</v>
      </c>
      <c r="S38" s="213">
        <v>0</v>
      </c>
      <c r="T38" s="191">
        <f t="shared" ref="T38:T98" si="16">U38/$N$5</f>
        <v>0</v>
      </c>
      <c r="U38" s="187">
        <f t="shared" si="12"/>
        <v>0</v>
      </c>
      <c r="V38" s="203">
        <f t="shared" ref="V38:V98" si="17">U38/$N$6</f>
        <v>0</v>
      </c>
      <c r="W38" s="56">
        <f t="shared" si="13"/>
        <v>0</v>
      </c>
      <c r="X38" s="207">
        <v>0</v>
      </c>
      <c r="Y38" s="189">
        <v>0</v>
      </c>
      <c r="Z38" s="189">
        <f t="shared" ref="Z38:Z98" si="18">Y38*4.75*668</f>
        <v>0</v>
      </c>
    </row>
    <row r="39" spans="1:26" x14ac:dyDescent="0.35">
      <c r="A39" s="176">
        <v>71</v>
      </c>
      <c r="B39" s="177"/>
      <c r="C39" s="178"/>
      <c r="D39" s="178"/>
      <c r="E39" s="178"/>
      <c r="F39" s="179"/>
      <c r="G39" s="179"/>
      <c r="H39" s="206"/>
      <c r="I39" s="179"/>
      <c r="J39" s="179"/>
      <c r="K39" s="179"/>
      <c r="L39" s="202">
        <v>0</v>
      </c>
      <c r="M39" s="200">
        <v>0</v>
      </c>
      <c r="N39" s="24">
        <f t="shared" si="14"/>
        <v>0</v>
      </c>
      <c r="O39" s="196">
        <f>IFERROR(IF(($N$4-VLOOKUP(REGISTRO_MAESTRO_m3!X39,DISTRIBUCION_CONTENEDORES!$A$3:$D$530,2) ) &lt; 0,0,($N$4-VLOOKUP(X39,DISTRIBUCION_CONTENEDORES!$A$3:$D$530,2) ) * (M39/VLOOKUP(X39,DISTRIBUCION_CONTENEDORES!$A$3:$D$530,2))),0) *$N$5</f>
        <v>0</v>
      </c>
      <c r="P39" s="194">
        <f t="shared" si="10"/>
        <v>0</v>
      </c>
      <c r="Q39" s="190">
        <f t="shared" si="11"/>
        <v>0</v>
      </c>
      <c r="R39" s="188">
        <f t="shared" si="15"/>
        <v>0</v>
      </c>
      <c r="S39" s="213">
        <v>0</v>
      </c>
      <c r="T39" s="191">
        <f t="shared" si="16"/>
        <v>0</v>
      </c>
      <c r="U39" s="187">
        <f t="shared" si="12"/>
        <v>0</v>
      </c>
      <c r="V39" s="203">
        <f t="shared" si="17"/>
        <v>0</v>
      </c>
      <c r="W39" s="56">
        <f t="shared" si="13"/>
        <v>0</v>
      </c>
      <c r="X39" s="207">
        <v>0</v>
      </c>
      <c r="Y39" s="189">
        <v>0</v>
      </c>
      <c r="Z39" s="189">
        <f t="shared" si="18"/>
        <v>0</v>
      </c>
    </row>
    <row r="40" spans="1:26" x14ac:dyDescent="0.35">
      <c r="A40" s="176">
        <v>72</v>
      </c>
      <c r="B40" s="177"/>
      <c r="C40" s="178"/>
      <c r="D40" s="178"/>
      <c r="E40" s="178"/>
      <c r="F40" s="179"/>
      <c r="G40" s="179"/>
      <c r="H40" s="206"/>
      <c r="I40" s="179"/>
      <c r="J40" s="179"/>
      <c r="K40" s="179"/>
      <c r="L40" s="202">
        <v>0</v>
      </c>
      <c r="M40" s="200">
        <v>0</v>
      </c>
      <c r="N40" s="24">
        <f t="shared" si="14"/>
        <v>0</v>
      </c>
      <c r="O40" s="196">
        <f>IFERROR(IF(($N$4-VLOOKUP(REGISTRO_MAESTRO_m3!X40,DISTRIBUCION_CONTENEDORES!$A$3:$D$530,2) ) &lt; 0,0,($N$4-VLOOKUP(X40,DISTRIBUCION_CONTENEDORES!$A$3:$D$530,2) ) * (M40/VLOOKUP(X40,DISTRIBUCION_CONTENEDORES!$A$3:$D$530,2))),0) *$N$5</f>
        <v>0</v>
      </c>
      <c r="P40" s="194">
        <f t="shared" si="10"/>
        <v>0</v>
      </c>
      <c r="Q40" s="190">
        <f t="shared" si="11"/>
        <v>0</v>
      </c>
      <c r="R40" s="188">
        <f t="shared" si="15"/>
        <v>0</v>
      </c>
      <c r="S40" s="213">
        <v>0</v>
      </c>
      <c r="T40" s="191">
        <f t="shared" si="16"/>
        <v>0</v>
      </c>
      <c r="U40" s="187">
        <f t="shared" si="12"/>
        <v>0</v>
      </c>
      <c r="V40" s="203">
        <f t="shared" si="17"/>
        <v>0</v>
      </c>
      <c r="W40" s="56">
        <f t="shared" si="13"/>
        <v>0</v>
      </c>
      <c r="X40" s="207">
        <v>0</v>
      </c>
      <c r="Y40" s="189">
        <v>0</v>
      </c>
      <c r="Z40" s="189">
        <f t="shared" si="18"/>
        <v>0</v>
      </c>
    </row>
    <row r="41" spans="1:26" x14ac:dyDescent="0.35">
      <c r="A41" s="176">
        <v>73</v>
      </c>
      <c r="B41" s="177"/>
      <c r="C41" s="178"/>
      <c r="D41" s="178"/>
      <c r="E41" s="178"/>
      <c r="F41" s="179"/>
      <c r="G41" s="179"/>
      <c r="H41" s="206"/>
      <c r="I41" s="179"/>
      <c r="J41" s="179"/>
      <c r="K41" s="179"/>
      <c r="L41" s="202">
        <v>0</v>
      </c>
      <c r="M41" s="200">
        <v>0</v>
      </c>
      <c r="N41" s="24">
        <f t="shared" si="14"/>
        <v>0</v>
      </c>
      <c r="O41" s="196">
        <f>IFERROR(IF(($N$4-VLOOKUP(REGISTRO_MAESTRO_m3!X41,DISTRIBUCION_CONTENEDORES!$A$3:$D$530,2) ) &lt; 0,0,($N$4-VLOOKUP(X41,DISTRIBUCION_CONTENEDORES!$A$3:$D$530,2) ) * (M41/VLOOKUP(X41,DISTRIBUCION_CONTENEDORES!$A$3:$D$530,2))),0) *$N$5</f>
        <v>0</v>
      </c>
      <c r="P41" s="194">
        <f t="shared" si="10"/>
        <v>0</v>
      </c>
      <c r="Q41" s="190">
        <f t="shared" si="11"/>
        <v>0</v>
      </c>
      <c r="R41" s="188">
        <f t="shared" si="15"/>
        <v>0</v>
      </c>
      <c r="S41" s="213">
        <v>0</v>
      </c>
      <c r="T41" s="191">
        <f t="shared" si="16"/>
        <v>0</v>
      </c>
      <c r="U41" s="187">
        <f t="shared" si="12"/>
        <v>0</v>
      </c>
      <c r="V41" s="203">
        <f t="shared" si="17"/>
        <v>0</v>
      </c>
      <c r="W41" s="56">
        <f t="shared" si="13"/>
        <v>0</v>
      </c>
      <c r="X41" s="207">
        <v>0</v>
      </c>
      <c r="Y41" s="189">
        <v>0</v>
      </c>
      <c r="Z41" s="189">
        <f t="shared" si="18"/>
        <v>0</v>
      </c>
    </row>
    <row r="42" spans="1:26" x14ac:dyDescent="0.35">
      <c r="A42" s="176">
        <v>74</v>
      </c>
      <c r="B42" s="177"/>
      <c r="C42" s="178"/>
      <c r="D42" s="178"/>
      <c r="E42" s="178"/>
      <c r="F42" s="179"/>
      <c r="G42" s="179"/>
      <c r="H42" s="206"/>
      <c r="I42" s="179"/>
      <c r="J42" s="179"/>
      <c r="K42" s="179"/>
      <c r="L42" s="202">
        <v>0</v>
      </c>
      <c r="M42" s="200">
        <v>0</v>
      </c>
      <c r="N42" s="24">
        <f t="shared" si="14"/>
        <v>0</v>
      </c>
      <c r="O42" s="196">
        <f>IFERROR(IF(($N$4-VLOOKUP(REGISTRO_MAESTRO_m3!X42,DISTRIBUCION_CONTENEDORES!$A$3:$D$530,2) ) &lt; 0,0,($N$4-VLOOKUP(X42,DISTRIBUCION_CONTENEDORES!$A$3:$D$530,2) ) * (M42/VLOOKUP(X42,DISTRIBUCION_CONTENEDORES!$A$3:$D$530,2))),0) *$N$5</f>
        <v>0</v>
      </c>
      <c r="P42" s="194">
        <f t="shared" si="10"/>
        <v>0</v>
      </c>
      <c r="Q42" s="190">
        <f t="shared" si="11"/>
        <v>0</v>
      </c>
      <c r="R42" s="188">
        <f t="shared" si="15"/>
        <v>0</v>
      </c>
      <c r="S42" s="213">
        <v>0</v>
      </c>
      <c r="T42" s="191">
        <f t="shared" si="16"/>
        <v>0</v>
      </c>
      <c r="U42" s="187">
        <f t="shared" si="12"/>
        <v>0</v>
      </c>
      <c r="V42" s="203">
        <f t="shared" si="17"/>
        <v>0</v>
      </c>
      <c r="W42" s="56">
        <f t="shared" si="13"/>
        <v>0</v>
      </c>
      <c r="X42" s="207">
        <v>0</v>
      </c>
      <c r="Y42" s="189">
        <v>0</v>
      </c>
      <c r="Z42" s="189">
        <f t="shared" si="18"/>
        <v>0</v>
      </c>
    </row>
    <row r="43" spans="1:26" x14ac:dyDescent="0.35">
      <c r="A43" s="176">
        <v>75</v>
      </c>
      <c r="B43" s="177"/>
      <c r="C43" s="178"/>
      <c r="D43" s="178"/>
      <c r="E43" s="178"/>
      <c r="F43" s="179"/>
      <c r="G43" s="179"/>
      <c r="H43" s="206"/>
      <c r="I43" s="179"/>
      <c r="J43" s="179"/>
      <c r="K43" s="179"/>
      <c r="L43" s="202">
        <v>0</v>
      </c>
      <c r="M43" s="200">
        <v>0</v>
      </c>
      <c r="N43" s="24">
        <f t="shared" si="14"/>
        <v>0</v>
      </c>
      <c r="O43" s="196">
        <f>IFERROR(IF(($N$4-VLOOKUP(REGISTRO_MAESTRO_m3!X43,DISTRIBUCION_CONTENEDORES!$A$3:$D$530,2) ) &lt; 0,0,($N$4-VLOOKUP(X43,DISTRIBUCION_CONTENEDORES!$A$3:$D$530,2) ) * (M43/VLOOKUP(X43,DISTRIBUCION_CONTENEDORES!$A$3:$D$530,2))),0) *$N$5</f>
        <v>0</v>
      </c>
      <c r="P43" s="194">
        <f t="shared" si="10"/>
        <v>0</v>
      </c>
      <c r="Q43" s="190">
        <f t="shared" si="11"/>
        <v>0</v>
      </c>
      <c r="R43" s="188">
        <f t="shared" si="15"/>
        <v>0</v>
      </c>
      <c r="S43" s="213">
        <v>0</v>
      </c>
      <c r="T43" s="191">
        <f t="shared" si="16"/>
        <v>0</v>
      </c>
      <c r="U43" s="187">
        <f t="shared" si="12"/>
        <v>0</v>
      </c>
      <c r="V43" s="203">
        <f t="shared" si="17"/>
        <v>0</v>
      </c>
      <c r="W43" s="56">
        <f t="shared" si="13"/>
        <v>0</v>
      </c>
      <c r="X43" s="207">
        <v>0</v>
      </c>
      <c r="Y43" s="189">
        <v>0</v>
      </c>
      <c r="Z43" s="189">
        <f t="shared" si="18"/>
        <v>0</v>
      </c>
    </row>
    <row r="44" spans="1:26" x14ac:dyDescent="0.35">
      <c r="A44" s="176">
        <v>76</v>
      </c>
      <c r="B44" s="177"/>
      <c r="C44" s="178"/>
      <c r="D44" s="178"/>
      <c r="E44" s="178"/>
      <c r="F44" s="179"/>
      <c r="G44" s="179"/>
      <c r="H44" s="206"/>
      <c r="I44" s="179"/>
      <c r="J44" s="179"/>
      <c r="K44" s="179"/>
      <c r="L44" s="202">
        <v>0</v>
      </c>
      <c r="M44" s="200">
        <v>0</v>
      </c>
      <c r="N44" s="24">
        <f t="shared" si="14"/>
        <v>0</v>
      </c>
      <c r="O44" s="196">
        <f>IFERROR(IF(($N$4-VLOOKUP(REGISTRO_MAESTRO_m3!X44,DISTRIBUCION_CONTENEDORES!$A$3:$D$530,2) ) &lt; 0,0,($N$4-VLOOKUP(X44,DISTRIBUCION_CONTENEDORES!$A$3:$D$530,2) ) * (M44/VLOOKUP(X44,DISTRIBUCION_CONTENEDORES!$A$3:$D$530,2))),0) *$N$5</f>
        <v>0</v>
      </c>
      <c r="P44" s="194">
        <f t="shared" si="10"/>
        <v>0</v>
      </c>
      <c r="Q44" s="190">
        <f t="shared" si="11"/>
        <v>0</v>
      </c>
      <c r="R44" s="188">
        <f t="shared" si="15"/>
        <v>0</v>
      </c>
      <c r="S44" s="213">
        <v>0</v>
      </c>
      <c r="T44" s="191">
        <f t="shared" si="16"/>
        <v>0</v>
      </c>
      <c r="U44" s="187">
        <f t="shared" si="12"/>
        <v>0</v>
      </c>
      <c r="V44" s="203">
        <f t="shared" si="17"/>
        <v>0</v>
      </c>
      <c r="W44" s="56">
        <f t="shared" si="13"/>
        <v>0</v>
      </c>
      <c r="X44" s="207">
        <v>0</v>
      </c>
      <c r="Y44" s="189">
        <v>0</v>
      </c>
      <c r="Z44" s="189">
        <f t="shared" si="18"/>
        <v>0</v>
      </c>
    </row>
    <row r="45" spans="1:26" x14ac:dyDescent="0.35">
      <c r="A45" s="176">
        <v>77</v>
      </c>
      <c r="B45" s="177"/>
      <c r="C45" s="178"/>
      <c r="D45" s="178"/>
      <c r="E45" s="178"/>
      <c r="F45" s="179"/>
      <c r="G45" s="179"/>
      <c r="H45" s="206"/>
      <c r="I45" s="179"/>
      <c r="J45" s="179"/>
      <c r="K45" s="179"/>
      <c r="L45" s="202">
        <v>0</v>
      </c>
      <c r="M45" s="200">
        <v>0</v>
      </c>
      <c r="N45" s="24">
        <f t="shared" si="14"/>
        <v>0</v>
      </c>
      <c r="O45" s="196">
        <f>IFERROR(IF(($N$4-VLOOKUP(REGISTRO_MAESTRO_m3!X45,DISTRIBUCION_CONTENEDORES!$A$3:$D$530,2) ) &lt; 0,0,($N$4-VLOOKUP(X45,DISTRIBUCION_CONTENEDORES!$A$3:$D$530,2) ) * (M45/VLOOKUP(X45,DISTRIBUCION_CONTENEDORES!$A$3:$D$530,2))),0) *$N$5</f>
        <v>0</v>
      </c>
      <c r="P45" s="194">
        <f t="shared" si="10"/>
        <v>0</v>
      </c>
      <c r="Q45" s="190">
        <f t="shared" si="11"/>
        <v>0</v>
      </c>
      <c r="R45" s="188">
        <f t="shared" si="15"/>
        <v>0</v>
      </c>
      <c r="S45" s="213">
        <v>0</v>
      </c>
      <c r="T45" s="191">
        <f t="shared" si="16"/>
        <v>0</v>
      </c>
      <c r="U45" s="187">
        <f t="shared" si="12"/>
        <v>0</v>
      </c>
      <c r="V45" s="203">
        <f t="shared" si="17"/>
        <v>0</v>
      </c>
      <c r="W45" s="56">
        <f t="shared" si="13"/>
        <v>0</v>
      </c>
      <c r="X45" s="207">
        <v>0</v>
      </c>
      <c r="Y45" s="189">
        <v>0</v>
      </c>
      <c r="Z45" s="189">
        <f t="shared" si="18"/>
        <v>0</v>
      </c>
    </row>
    <row r="46" spans="1:26" x14ac:dyDescent="0.35">
      <c r="A46" s="176">
        <v>78</v>
      </c>
      <c r="B46" s="177"/>
      <c r="C46" s="178"/>
      <c r="D46" s="178"/>
      <c r="E46" s="178"/>
      <c r="F46" s="179"/>
      <c r="G46" s="179"/>
      <c r="H46" s="206"/>
      <c r="I46" s="179"/>
      <c r="J46" s="179"/>
      <c r="K46" s="179"/>
      <c r="L46" s="202">
        <v>0</v>
      </c>
      <c r="M46" s="200">
        <v>0</v>
      </c>
      <c r="N46" s="24">
        <f t="shared" si="14"/>
        <v>0</v>
      </c>
      <c r="O46" s="196">
        <f>IFERROR(IF(($N$4-VLOOKUP(REGISTRO_MAESTRO_m3!X46,DISTRIBUCION_CONTENEDORES!$A$3:$D$530,2) ) &lt; 0,0,($N$4-VLOOKUP(X46,DISTRIBUCION_CONTENEDORES!$A$3:$D$530,2) ) * (M46/VLOOKUP(X46,DISTRIBUCION_CONTENEDORES!$A$3:$D$530,2))),0) *$N$5</f>
        <v>0</v>
      </c>
      <c r="P46" s="194">
        <f t="shared" si="10"/>
        <v>0</v>
      </c>
      <c r="Q46" s="190">
        <f t="shared" si="11"/>
        <v>0</v>
      </c>
      <c r="R46" s="188">
        <f t="shared" si="15"/>
        <v>0</v>
      </c>
      <c r="S46" s="213">
        <v>0</v>
      </c>
      <c r="T46" s="191">
        <f t="shared" si="16"/>
        <v>0</v>
      </c>
      <c r="U46" s="187">
        <f t="shared" si="12"/>
        <v>0</v>
      </c>
      <c r="V46" s="203">
        <f t="shared" si="17"/>
        <v>0</v>
      </c>
      <c r="W46" s="56">
        <f t="shared" si="13"/>
        <v>0</v>
      </c>
      <c r="X46" s="207">
        <v>0</v>
      </c>
      <c r="Y46" s="189">
        <v>0</v>
      </c>
      <c r="Z46" s="189">
        <f t="shared" si="18"/>
        <v>0</v>
      </c>
    </row>
    <row r="47" spans="1:26" x14ac:dyDescent="0.35">
      <c r="A47" s="176">
        <v>79</v>
      </c>
      <c r="B47" s="177"/>
      <c r="C47" s="178"/>
      <c r="D47" s="178"/>
      <c r="E47" s="178"/>
      <c r="F47" s="179"/>
      <c r="G47" s="179"/>
      <c r="H47" s="206"/>
      <c r="I47" s="179"/>
      <c r="J47" s="179"/>
      <c r="K47" s="179"/>
      <c r="L47" s="202">
        <v>0</v>
      </c>
      <c r="M47" s="200">
        <v>0</v>
      </c>
      <c r="N47" s="24">
        <f t="shared" si="14"/>
        <v>0</v>
      </c>
      <c r="O47" s="196">
        <f>IFERROR(IF(($N$4-VLOOKUP(REGISTRO_MAESTRO_m3!X47,DISTRIBUCION_CONTENEDORES!$A$3:$D$530,2) ) &lt; 0,0,($N$4-VLOOKUP(X47,DISTRIBUCION_CONTENEDORES!$A$3:$D$530,2) ) * (M47/VLOOKUP(X47,DISTRIBUCION_CONTENEDORES!$A$3:$D$530,2))),0) *$N$5</f>
        <v>0</v>
      </c>
      <c r="P47" s="194">
        <f t="shared" ref="P47:P110" si="19">N47+O47</f>
        <v>0</v>
      </c>
      <c r="Q47" s="190">
        <f t="shared" ref="Q47:Q110" si="20">P47-L47</f>
        <v>0</v>
      </c>
      <c r="R47" s="188">
        <f t="shared" si="15"/>
        <v>0</v>
      </c>
      <c r="S47" s="213">
        <v>0</v>
      </c>
      <c r="T47" s="191">
        <f t="shared" si="16"/>
        <v>0</v>
      </c>
      <c r="U47" s="187">
        <f t="shared" ref="U47:U110" si="21">IF(Q47&lt; 0, 0, Q47-S47)</f>
        <v>0</v>
      </c>
      <c r="V47" s="203">
        <f t="shared" si="17"/>
        <v>0</v>
      </c>
      <c r="W47" s="56">
        <f t="shared" ref="W47:W110" si="22">M47*$N$8</f>
        <v>0</v>
      </c>
      <c r="X47" s="207">
        <v>0</v>
      </c>
      <c r="Y47" s="189">
        <v>0</v>
      </c>
      <c r="Z47" s="189">
        <f t="shared" si="18"/>
        <v>0</v>
      </c>
    </row>
    <row r="48" spans="1:26" x14ac:dyDescent="0.35">
      <c r="A48" s="176">
        <v>80</v>
      </c>
      <c r="B48" s="177"/>
      <c r="C48" s="178"/>
      <c r="D48" s="178"/>
      <c r="E48" s="178"/>
      <c r="F48" s="179"/>
      <c r="G48" s="179"/>
      <c r="H48" s="206"/>
      <c r="I48" s="179"/>
      <c r="J48" s="179"/>
      <c r="K48" s="179"/>
      <c r="L48" s="202">
        <v>0</v>
      </c>
      <c r="M48" s="200">
        <v>0</v>
      </c>
      <c r="N48" s="24">
        <f t="shared" si="14"/>
        <v>0</v>
      </c>
      <c r="O48" s="196">
        <f>IFERROR(IF(($N$4-VLOOKUP(REGISTRO_MAESTRO_m3!X48,DISTRIBUCION_CONTENEDORES!$A$3:$D$530,2) ) &lt; 0,0,($N$4-VLOOKUP(X48,DISTRIBUCION_CONTENEDORES!$A$3:$D$530,2) ) * (M48/VLOOKUP(X48,DISTRIBUCION_CONTENEDORES!$A$3:$D$530,2))),0) *$N$5</f>
        <v>0</v>
      </c>
      <c r="P48" s="194">
        <f t="shared" si="19"/>
        <v>0</v>
      </c>
      <c r="Q48" s="190">
        <f t="shared" si="20"/>
        <v>0</v>
      </c>
      <c r="R48" s="188">
        <f t="shared" si="15"/>
        <v>0</v>
      </c>
      <c r="S48" s="213">
        <v>0</v>
      </c>
      <c r="T48" s="191">
        <f t="shared" si="16"/>
        <v>0</v>
      </c>
      <c r="U48" s="187">
        <f t="shared" si="21"/>
        <v>0</v>
      </c>
      <c r="V48" s="203">
        <f t="shared" si="17"/>
        <v>0</v>
      </c>
      <c r="W48" s="56">
        <f t="shared" si="22"/>
        <v>0</v>
      </c>
      <c r="X48" s="207">
        <v>0</v>
      </c>
      <c r="Y48" s="189">
        <v>0</v>
      </c>
      <c r="Z48" s="189">
        <f t="shared" si="18"/>
        <v>0</v>
      </c>
    </row>
    <row r="49" spans="1:26" x14ac:dyDescent="0.35">
      <c r="A49" s="176">
        <v>81</v>
      </c>
      <c r="B49" s="177"/>
      <c r="C49" s="178"/>
      <c r="D49" s="178"/>
      <c r="E49" s="178"/>
      <c r="F49" s="179"/>
      <c r="G49" s="179"/>
      <c r="H49" s="206"/>
      <c r="I49" s="179"/>
      <c r="J49" s="179"/>
      <c r="K49" s="179"/>
      <c r="L49" s="202">
        <v>0</v>
      </c>
      <c r="M49" s="200">
        <v>0</v>
      </c>
      <c r="N49" s="24">
        <f t="shared" si="14"/>
        <v>0</v>
      </c>
      <c r="O49" s="196">
        <f>IFERROR(IF(($N$4-VLOOKUP(REGISTRO_MAESTRO_m3!X49,DISTRIBUCION_CONTENEDORES!$A$3:$D$530,2) ) &lt; 0,0,($N$4-VLOOKUP(X49,DISTRIBUCION_CONTENEDORES!$A$3:$D$530,2) ) * (M49/VLOOKUP(X49,DISTRIBUCION_CONTENEDORES!$A$3:$D$530,2))),0) *$N$5</f>
        <v>0</v>
      </c>
      <c r="P49" s="194">
        <f t="shared" si="19"/>
        <v>0</v>
      </c>
      <c r="Q49" s="190">
        <f t="shared" si="20"/>
        <v>0</v>
      </c>
      <c r="R49" s="188">
        <f t="shared" si="15"/>
        <v>0</v>
      </c>
      <c r="S49" s="213">
        <v>0</v>
      </c>
      <c r="T49" s="191">
        <f t="shared" si="16"/>
        <v>0</v>
      </c>
      <c r="U49" s="187">
        <f t="shared" si="21"/>
        <v>0</v>
      </c>
      <c r="V49" s="203">
        <f t="shared" si="17"/>
        <v>0</v>
      </c>
      <c r="W49" s="56">
        <f t="shared" si="22"/>
        <v>0</v>
      </c>
      <c r="X49" s="207">
        <v>0</v>
      </c>
      <c r="Y49" s="189">
        <v>0</v>
      </c>
      <c r="Z49" s="189">
        <f t="shared" si="18"/>
        <v>0</v>
      </c>
    </row>
    <row r="50" spans="1:26" x14ac:dyDescent="0.35">
      <c r="A50" s="176">
        <v>82</v>
      </c>
      <c r="B50" s="177"/>
      <c r="C50" s="178"/>
      <c r="D50" s="178"/>
      <c r="E50" s="178"/>
      <c r="F50" s="179"/>
      <c r="G50" s="179"/>
      <c r="H50" s="206"/>
      <c r="I50" s="179"/>
      <c r="J50" s="179"/>
      <c r="K50" s="179"/>
      <c r="L50" s="202">
        <v>0</v>
      </c>
      <c r="M50" s="200">
        <v>0</v>
      </c>
      <c r="N50" s="24">
        <f t="shared" si="14"/>
        <v>0</v>
      </c>
      <c r="O50" s="196">
        <f>IFERROR(IF(($N$4-VLOOKUP(REGISTRO_MAESTRO_m3!X50,DISTRIBUCION_CONTENEDORES!$A$3:$D$530,2) ) &lt; 0,0,($N$4-VLOOKUP(X50,DISTRIBUCION_CONTENEDORES!$A$3:$D$530,2) ) * (M50/VLOOKUP(X50,DISTRIBUCION_CONTENEDORES!$A$3:$D$530,2))),0) *$N$5</f>
        <v>0</v>
      </c>
      <c r="P50" s="194">
        <f t="shared" si="19"/>
        <v>0</v>
      </c>
      <c r="Q50" s="190">
        <f t="shared" si="20"/>
        <v>0</v>
      </c>
      <c r="R50" s="188">
        <f t="shared" si="15"/>
        <v>0</v>
      </c>
      <c r="S50" s="213">
        <v>0</v>
      </c>
      <c r="T50" s="191">
        <f t="shared" si="16"/>
        <v>0</v>
      </c>
      <c r="U50" s="187">
        <f t="shared" si="21"/>
        <v>0</v>
      </c>
      <c r="V50" s="203">
        <f t="shared" si="17"/>
        <v>0</v>
      </c>
      <c r="W50" s="56">
        <f t="shared" si="22"/>
        <v>0</v>
      </c>
      <c r="X50" s="207">
        <v>0</v>
      </c>
      <c r="Y50" s="189">
        <v>0</v>
      </c>
      <c r="Z50" s="189">
        <f t="shared" si="18"/>
        <v>0</v>
      </c>
    </row>
    <row r="51" spans="1:26" x14ac:dyDescent="0.35">
      <c r="A51" s="176">
        <v>83</v>
      </c>
      <c r="B51" s="177"/>
      <c r="C51" s="178"/>
      <c r="D51" s="178"/>
      <c r="E51" s="178"/>
      <c r="F51" s="179"/>
      <c r="G51" s="179"/>
      <c r="H51" s="206"/>
      <c r="I51" s="179"/>
      <c r="J51" s="179"/>
      <c r="K51" s="179"/>
      <c r="L51" s="202">
        <v>0</v>
      </c>
      <c r="M51" s="200">
        <v>0</v>
      </c>
      <c r="N51" s="24">
        <f t="shared" si="14"/>
        <v>0</v>
      </c>
      <c r="O51" s="196">
        <f>IFERROR(IF(($N$4-VLOOKUP(REGISTRO_MAESTRO_m3!X51,DISTRIBUCION_CONTENEDORES!$A$3:$D$530,2) ) &lt; 0,0,($N$4-VLOOKUP(X51,DISTRIBUCION_CONTENEDORES!$A$3:$D$530,2) ) * (M51/VLOOKUP(X51,DISTRIBUCION_CONTENEDORES!$A$3:$D$530,2))),0) *$N$5</f>
        <v>0</v>
      </c>
      <c r="P51" s="194">
        <f t="shared" si="19"/>
        <v>0</v>
      </c>
      <c r="Q51" s="190">
        <f t="shared" si="20"/>
        <v>0</v>
      </c>
      <c r="R51" s="188">
        <f t="shared" si="15"/>
        <v>0</v>
      </c>
      <c r="S51" s="213">
        <v>0</v>
      </c>
      <c r="T51" s="191">
        <f t="shared" si="16"/>
        <v>0</v>
      </c>
      <c r="U51" s="187">
        <f t="shared" si="21"/>
        <v>0</v>
      </c>
      <c r="V51" s="203">
        <f t="shared" si="17"/>
        <v>0</v>
      </c>
      <c r="W51" s="56">
        <f t="shared" si="22"/>
        <v>0</v>
      </c>
      <c r="X51" s="207">
        <v>0</v>
      </c>
      <c r="Y51" s="189">
        <v>0</v>
      </c>
      <c r="Z51" s="189">
        <f t="shared" si="18"/>
        <v>0</v>
      </c>
    </row>
    <row r="52" spans="1:26" x14ac:dyDescent="0.35">
      <c r="A52" s="176">
        <v>84</v>
      </c>
      <c r="B52" s="177"/>
      <c r="C52" s="178"/>
      <c r="D52" s="178"/>
      <c r="E52" s="178"/>
      <c r="F52" s="179"/>
      <c r="G52" s="179"/>
      <c r="H52" s="206"/>
      <c r="I52" s="179"/>
      <c r="J52" s="179"/>
      <c r="K52" s="179"/>
      <c r="L52" s="202">
        <v>0</v>
      </c>
      <c r="M52" s="200">
        <v>0</v>
      </c>
      <c r="N52" s="24">
        <f t="shared" si="14"/>
        <v>0</v>
      </c>
      <c r="O52" s="196">
        <f>IFERROR(IF(($N$4-VLOOKUP(REGISTRO_MAESTRO_m3!X52,DISTRIBUCION_CONTENEDORES!$A$3:$D$530,2) ) &lt; 0,0,($N$4-VLOOKUP(X52,DISTRIBUCION_CONTENEDORES!$A$3:$D$530,2) ) * (M52/VLOOKUP(X52,DISTRIBUCION_CONTENEDORES!$A$3:$D$530,2))),0) *$N$5</f>
        <v>0</v>
      </c>
      <c r="P52" s="194">
        <f t="shared" si="19"/>
        <v>0</v>
      </c>
      <c r="Q52" s="190">
        <f t="shared" si="20"/>
        <v>0</v>
      </c>
      <c r="R52" s="188">
        <f t="shared" si="15"/>
        <v>0</v>
      </c>
      <c r="S52" s="213">
        <v>0</v>
      </c>
      <c r="T52" s="191">
        <f t="shared" si="16"/>
        <v>0</v>
      </c>
      <c r="U52" s="187">
        <f t="shared" si="21"/>
        <v>0</v>
      </c>
      <c r="V52" s="203">
        <f t="shared" si="17"/>
        <v>0</v>
      </c>
      <c r="W52" s="56">
        <f t="shared" si="22"/>
        <v>0</v>
      </c>
      <c r="X52" s="207">
        <v>0</v>
      </c>
      <c r="Y52" s="189">
        <v>0</v>
      </c>
      <c r="Z52" s="189">
        <f t="shared" si="18"/>
        <v>0</v>
      </c>
    </row>
    <row r="53" spans="1:26" x14ac:dyDescent="0.35">
      <c r="A53" s="176">
        <v>85</v>
      </c>
      <c r="B53" s="177"/>
      <c r="C53" s="178"/>
      <c r="D53" s="178"/>
      <c r="E53" s="178"/>
      <c r="F53" s="179"/>
      <c r="G53" s="179"/>
      <c r="H53" s="206"/>
      <c r="I53" s="179"/>
      <c r="J53" s="179"/>
      <c r="K53" s="179"/>
      <c r="L53" s="202">
        <v>0</v>
      </c>
      <c r="M53" s="200">
        <v>0</v>
      </c>
      <c r="N53" s="24">
        <f t="shared" si="14"/>
        <v>0</v>
      </c>
      <c r="O53" s="196">
        <f>IFERROR(IF(($N$4-VLOOKUP(REGISTRO_MAESTRO_m3!X53,DISTRIBUCION_CONTENEDORES!$A$3:$D$530,2) ) &lt; 0,0,($N$4-VLOOKUP(X53,DISTRIBUCION_CONTENEDORES!$A$3:$D$530,2) ) * (M53/VLOOKUP(X53,DISTRIBUCION_CONTENEDORES!$A$3:$D$530,2))),0) *$N$5</f>
        <v>0</v>
      </c>
      <c r="P53" s="194">
        <f t="shared" si="19"/>
        <v>0</v>
      </c>
      <c r="Q53" s="190">
        <f t="shared" si="20"/>
        <v>0</v>
      </c>
      <c r="R53" s="188">
        <f t="shared" si="15"/>
        <v>0</v>
      </c>
      <c r="S53" s="213">
        <v>0</v>
      </c>
      <c r="T53" s="191">
        <f t="shared" si="16"/>
        <v>0</v>
      </c>
      <c r="U53" s="187">
        <f t="shared" si="21"/>
        <v>0</v>
      </c>
      <c r="V53" s="203">
        <f t="shared" si="17"/>
        <v>0</v>
      </c>
      <c r="W53" s="56">
        <f t="shared" si="22"/>
        <v>0</v>
      </c>
      <c r="X53" s="207">
        <v>0</v>
      </c>
      <c r="Y53" s="189">
        <v>0</v>
      </c>
      <c r="Z53" s="189">
        <f t="shared" si="18"/>
        <v>0</v>
      </c>
    </row>
    <row r="54" spans="1:26" x14ac:dyDescent="0.35">
      <c r="A54" s="176">
        <v>86</v>
      </c>
      <c r="B54" s="177"/>
      <c r="C54" s="178"/>
      <c r="D54" s="178"/>
      <c r="E54" s="178"/>
      <c r="F54" s="179"/>
      <c r="G54" s="179"/>
      <c r="H54" s="206"/>
      <c r="I54" s="179"/>
      <c r="J54" s="179"/>
      <c r="K54" s="179"/>
      <c r="L54" s="202">
        <v>0</v>
      </c>
      <c r="M54" s="200">
        <v>0</v>
      </c>
      <c r="N54" s="24">
        <f t="shared" si="14"/>
        <v>0</v>
      </c>
      <c r="O54" s="196">
        <f>IFERROR(IF(($N$4-VLOOKUP(REGISTRO_MAESTRO_m3!X54,DISTRIBUCION_CONTENEDORES!$A$3:$D$530,2) ) &lt; 0,0,($N$4-VLOOKUP(X54,DISTRIBUCION_CONTENEDORES!$A$3:$D$530,2) ) * (M54/VLOOKUP(X54,DISTRIBUCION_CONTENEDORES!$A$3:$D$530,2))),0) *$N$5</f>
        <v>0</v>
      </c>
      <c r="P54" s="194">
        <f t="shared" si="19"/>
        <v>0</v>
      </c>
      <c r="Q54" s="190">
        <f t="shared" si="20"/>
        <v>0</v>
      </c>
      <c r="R54" s="188">
        <f t="shared" si="15"/>
        <v>0</v>
      </c>
      <c r="S54" s="213">
        <v>0</v>
      </c>
      <c r="T54" s="191">
        <f t="shared" si="16"/>
        <v>0</v>
      </c>
      <c r="U54" s="187">
        <f t="shared" si="21"/>
        <v>0</v>
      </c>
      <c r="V54" s="203">
        <f t="shared" si="17"/>
        <v>0</v>
      </c>
      <c r="W54" s="56">
        <f t="shared" si="22"/>
        <v>0</v>
      </c>
      <c r="X54" s="207">
        <v>0</v>
      </c>
      <c r="Y54" s="189">
        <v>0</v>
      </c>
      <c r="Z54" s="189">
        <f t="shared" si="18"/>
        <v>0</v>
      </c>
    </row>
    <row r="55" spans="1:26" x14ac:dyDescent="0.35">
      <c r="A55" s="176">
        <v>87</v>
      </c>
      <c r="B55" s="177"/>
      <c r="C55" s="178"/>
      <c r="D55" s="178"/>
      <c r="E55" s="178"/>
      <c r="F55" s="179"/>
      <c r="G55" s="179"/>
      <c r="H55" s="206"/>
      <c r="I55" s="179"/>
      <c r="J55" s="179"/>
      <c r="K55" s="179"/>
      <c r="L55" s="202">
        <v>0</v>
      </c>
      <c r="M55" s="200">
        <v>0</v>
      </c>
      <c r="N55" s="24">
        <f t="shared" si="14"/>
        <v>0</v>
      </c>
      <c r="O55" s="196">
        <f>IFERROR(IF(($N$4-VLOOKUP(REGISTRO_MAESTRO_m3!X55,DISTRIBUCION_CONTENEDORES!$A$3:$D$530,2) ) &lt; 0,0,($N$4-VLOOKUP(X55,DISTRIBUCION_CONTENEDORES!$A$3:$D$530,2) ) * (M55/VLOOKUP(X55,DISTRIBUCION_CONTENEDORES!$A$3:$D$530,2))),0) *$N$5</f>
        <v>0</v>
      </c>
      <c r="P55" s="194">
        <f t="shared" si="19"/>
        <v>0</v>
      </c>
      <c r="Q55" s="190">
        <f t="shared" si="20"/>
        <v>0</v>
      </c>
      <c r="R55" s="188">
        <f t="shared" si="15"/>
        <v>0</v>
      </c>
      <c r="S55" s="213">
        <v>0</v>
      </c>
      <c r="T55" s="191">
        <f t="shared" si="16"/>
        <v>0</v>
      </c>
      <c r="U55" s="187">
        <f t="shared" si="21"/>
        <v>0</v>
      </c>
      <c r="V55" s="203">
        <f t="shared" si="17"/>
        <v>0</v>
      </c>
      <c r="W55" s="56">
        <f t="shared" si="22"/>
        <v>0</v>
      </c>
      <c r="X55" s="207">
        <v>0</v>
      </c>
      <c r="Y55" s="189">
        <v>0</v>
      </c>
      <c r="Z55" s="189">
        <f t="shared" si="18"/>
        <v>0</v>
      </c>
    </row>
    <row r="56" spans="1:26" x14ac:dyDescent="0.35">
      <c r="A56" s="176">
        <v>88</v>
      </c>
      <c r="B56" s="177"/>
      <c r="C56" s="178"/>
      <c r="D56" s="178"/>
      <c r="E56" s="178"/>
      <c r="F56" s="179"/>
      <c r="G56" s="179"/>
      <c r="H56" s="206"/>
      <c r="I56" s="179"/>
      <c r="J56" s="179"/>
      <c r="K56" s="179"/>
      <c r="L56" s="202">
        <v>0</v>
      </c>
      <c r="M56" s="200">
        <v>0</v>
      </c>
      <c r="N56" s="24">
        <f t="shared" si="14"/>
        <v>0</v>
      </c>
      <c r="O56" s="196">
        <f>IFERROR(IF(($N$4-VLOOKUP(REGISTRO_MAESTRO_m3!X56,DISTRIBUCION_CONTENEDORES!$A$3:$D$530,2) ) &lt; 0,0,($N$4-VLOOKUP(X56,DISTRIBUCION_CONTENEDORES!$A$3:$D$530,2) ) * (M56/VLOOKUP(X56,DISTRIBUCION_CONTENEDORES!$A$3:$D$530,2))),0) *$N$5</f>
        <v>0</v>
      </c>
      <c r="P56" s="194">
        <f t="shared" si="19"/>
        <v>0</v>
      </c>
      <c r="Q56" s="190">
        <f t="shared" si="20"/>
        <v>0</v>
      </c>
      <c r="R56" s="188">
        <f t="shared" si="15"/>
        <v>0</v>
      </c>
      <c r="S56" s="213">
        <v>0</v>
      </c>
      <c r="T56" s="191">
        <f t="shared" si="16"/>
        <v>0</v>
      </c>
      <c r="U56" s="187">
        <f t="shared" si="21"/>
        <v>0</v>
      </c>
      <c r="V56" s="203">
        <f t="shared" si="17"/>
        <v>0</v>
      </c>
      <c r="W56" s="56">
        <f t="shared" si="22"/>
        <v>0</v>
      </c>
      <c r="X56" s="207">
        <v>0</v>
      </c>
      <c r="Y56" s="189">
        <v>0</v>
      </c>
      <c r="Z56" s="189">
        <f t="shared" si="18"/>
        <v>0</v>
      </c>
    </row>
    <row r="57" spans="1:26" x14ac:dyDescent="0.35">
      <c r="A57" s="176">
        <v>89</v>
      </c>
      <c r="B57" s="177"/>
      <c r="C57" s="178"/>
      <c r="D57" s="178"/>
      <c r="E57" s="178"/>
      <c r="F57" s="179"/>
      <c r="G57" s="179"/>
      <c r="H57" s="206"/>
      <c r="I57" s="179"/>
      <c r="J57" s="179"/>
      <c r="K57" s="179"/>
      <c r="L57" s="202">
        <v>0</v>
      </c>
      <c r="M57" s="200">
        <v>0</v>
      </c>
      <c r="N57" s="24">
        <f t="shared" si="14"/>
        <v>0</v>
      </c>
      <c r="O57" s="196">
        <f>IFERROR(IF(($N$4-VLOOKUP(REGISTRO_MAESTRO_m3!X57,DISTRIBUCION_CONTENEDORES!$A$3:$D$530,2) ) &lt; 0,0,($N$4-VLOOKUP(X57,DISTRIBUCION_CONTENEDORES!$A$3:$D$530,2) ) * (M57/VLOOKUP(X57,DISTRIBUCION_CONTENEDORES!$A$3:$D$530,2))),0) *$N$5</f>
        <v>0</v>
      </c>
      <c r="P57" s="194">
        <f t="shared" si="19"/>
        <v>0</v>
      </c>
      <c r="Q57" s="190">
        <f t="shared" si="20"/>
        <v>0</v>
      </c>
      <c r="R57" s="188">
        <f t="shared" si="15"/>
        <v>0</v>
      </c>
      <c r="S57" s="213">
        <v>0</v>
      </c>
      <c r="T57" s="191">
        <f t="shared" si="16"/>
        <v>0</v>
      </c>
      <c r="U57" s="187">
        <f t="shared" si="21"/>
        <v>0</v>
      </c>
      <c r="V57" s="203">
        <f t="shared" si="17"/>
        <v>0</v>
      </c>
      <c r="W57" s="56">
        <f t="shared" si="22"/>
        <v>0</v>
      </c>
      <c r="X57" s="207">
        <v>0</v>
      </c>
      <c r="Y57" s="189">
        <v>0</v>
      </c>
      <c r="Z57" s="189">
        <f t="shared" si="18"/>
        <v>0</v>
      </c>
    </row>
    <row r="58" spans="1:26" x14ac:dyDescent="0.35">
      <c r="A58" s="176">
        <v>90</v>
      </c>
      <c r="B58" s="177"/>
      <c r="C58" s="178"/>
      <c r="D58" s="178"/>
      <c r="E58" s="178"/>
      <c r="F58" s="179"/>
      <c r="G58" s="179"/>
      <c r="H58" s="206"/>
      <c r="I58" s="179"/>
      <c r="J58" s="179"/>
      <c r="K58" s="179"/>
      <c r="L58" s="202">
        <v>0</v>
      </c>
      <c r="M58" s="200">
        <v>0</v>
      </c>
      <c r="N58" s="24">
        <f t="shared" si="14"/>
        <v>0</v>
      </c>
      <c r="O58" s="196">
        <f>IFERROR(IF(($N$4-VLOOKUP(REGISTRO_MAESTRO_m3!X58,DISTRIBUCION_CONTENEDORES!$A$3:$D$530,2) ) &lt; 0,0,($N$4-VLOOKUP(X58,DISTRIBUCION_CONTENEDORES!$A$3:$D$530,2) ) * (M58/VLOOKUP(X58,DISTRIBUCION_CONTENEDORES!$A$3:$D$530,2))),0) *$N$5</f>
        <v>0</v>
      </c>
      <c r="P58" s="194">
        <f t="shared" si="19"/>
        <v>0</v>
      </c>
      <c r="Q58" s="190">
        <f t="shared" si="20"/>
        <v>0</v>
      </c>
      <c r="R58" s="188">
        <f t="shared" si="15"/>
        <v>0</v>
      </c>
      <c r="S58" s="213">
        <v>0</v>
      </c>
      <c r="T58" s="191">
        <f t="shared" si="16"/>
        <v>0</v>
      </c>
      <c r="U58" s="187">
        <f t="shared" si="21"/>
        <v>0</v>
      </c>
      <c r="V58" s="203">
        <f t="shared" si="17"/>
        <v>0</v>
      </c>
      <c r="W58" s="56">
        <f t="shared" si="22"/>
        <v>0</v>
      </c>
      <c r="X58" s="207">
        <v>0</v>
      </c>
      <c r="Y58" s="189">
        <v>0</v>
      </c>
      <c r="Z58" s="189">
        <f t="shared" si="18"/>
        <v>0</v>
      </c>
    </row>
    <row r="59" spans="1:26" x14ac:dyDescent="0.35">
      <c r="A59" s="176">
        <v>91</v>
      </c>
      <c r="B59" s="177"/>
      <c r="C59" s="178"/>
      <c r="D59" s="178"/>
      <c r="E59" s="178"/>
      <c r="F59" s="179"/>
      <c r="G59" s="179"/>
      <c r="H59" s="206"/>
      <c r="I59" s="179"/>
      <c r="J59" s="179"/>
      <c r="K59" s="179"/>
      <c r="L59" s="202">
        <v>0</v>
      </c>
      <c r="M59" s="200">
        <v>0</v>
      </c>
      <c r="N59" s="24">
        <f t="shared" si="14"/>
        <v>0</v>
      </c>
      <c r="O59" s="196">
        <f>IFERROR(IF(($N$4-VLOOKUP(REGISTRO_MAESTRO_m3!X59,DISTRIBUCION_CONTENEDORES!$A$3:$D$530,2) ) &lt; 0,0,($N$4-VLOOKUP(X59,DISTRIBUCION_CONTENEDORES!$A$3:$D$530,2) ) * (M59/VLOOKUP(X59,DISTRIBUCION_CONTENEDORES!$A$3:$D$530,2))),0) *$N$5</f>
        <v>0</v>
      </c>
      <c r="P59" s="194">
        <f t="shared" si="19"/>
        <v>0</v>
      </c>
      <c r="Q59" s="190">
        <f t="shared" si="20"/>
        <v>0</v>
      </c>
      <c r="R59" s="188">
        <f t="shared" si="15"/>
        <v>0</v>
      </c>
      <c r="S59" s="213">
        <v>0</v>
      </c>
      <c r="T59" s="191">
        <f t="shared" si="16"/>
        <v>0</v>
      </c>
      <c r="U59" s="187">
        <f t="shared" si="21"/>
        <v>0</v>
      </c>
      <c r="V59" s="203">
        <f t="shared" si="17"/>
        <v>0</v>
      </c>
      <c r="W59" s="56">
        <f t="shared" si="22"/>
        <v>0</v>
      </c>
      <c r="X59" s="207">
        <v>0</v>
      </c>
      <c r="Y59" s="189">
        <v>0</v>
      </c>
      <c r="Z59" s="189">
        <f t="shared" si="18"/>
        <v>0</v>
      </c>
    </row>
    <row r="60" spans="1:26" x14ac:dyDescent="0.35">
      <c r="A60" s="176">
        <v>92</v>
      </c>
      <c r="B60" s="177"/>
      <c r="C60" s="178"/>
      <c r="D60" s="178"/>
      <c r="E60" s="178"/>
      <c r="F60" s="179"/>
      <c r="G60" s="179"/>
      <c r="H60" s="206"/>
      <c r="I60" s="179"/>
      <c r="J60" s="179"/>
      <c r="K60" s="179"/>
      <c r="L60" s="202">
        <v>0</v>
      </c>
      <c r="M60" s="200">
        <v>0</v>
      </c>
      <c r="N60" s="24">
        <f t="shared" si="14"/>
        <v>0</v>
      </c>
      <c r="O60" s="196">
        <f>IFERROR(IF(($N$4-VLOOKUP(REGISTRO_MAESTRO_m3!X60,DISTRIBUCION_CONTENEDORES!$A$3:$D$530,2) ) &lt; 0,0,($N$4-VLOOKUP(X60,DISTRIBUCION_CONTENEDORES!$A$3:$D$530,2) ) * (M60/VLOOKUP(X60,DISTRIBUCION_CONTENEDORES!$A$3:$D$530,2))),0) *$N$5</f>
        <v>0</v>
      </c>
      <c r="P60" s="194">
        <f t="shared" si="19"/>
        <v>0</v>
      </c>
      <c r="Q60" s="190">
        <f t="shared" si="20"/>
        <v>0</v>
      </c>
      <c r="R60" s="188">
        <f t="shared" si="15"/>
        <v>0</v>
      </c>
      <c r="S60" s="213">
        <v>0</v>
      </c>
      <c r="T60" s="191">
        <f t="shared" si="16"/>
        <v>0</v>
      </c>
      <c r="U60" s="187">
        <f t="shared" si="21"/>
        <v>0</v>
      </c>
      <c r="V60" s="203">
        <f t="shared" si="17"/>
        <v>0</v>
      </c>
      <c r="W60" s="56">
        <f t="shared" si="22"/>
        <v>0</v>
      </c>
      <c r="X60" s="207">
        <v>0</v>
      </c>
      <c r="Y60" s="189">
        <v>0</v>
      </c>
      <c r="Z60" s="189">
        <f t="shared" si="18"/>
        <v>0</v>
      </c>
    </row>
    <row r="61" spans="1:26" x14ac:dyDescent="0.35">
      <c r="A61" s="176">
        <v>93</v>
      </c>
      <c r="B61" s="177"/>
      <c r="C61" s="178"/>
      <c r="D61" s="178"/>
      <c r="E61" s="178"/>
      <c r="F61" s="179"/>
      <c r="G61" s="179"/>
      <c r="H61" s="206"/>
      <c r="I61" s="179"/>
      <c r="J61" s="179"/>
      <c r="K61" s="179"/>
      <c r="L61" s="202">
        <v>0</v>
      </c>
      <c r="M61" s="200">
        <v>0</v>
      </c>
      <c r="N61" s="24">
        <f t="shared" si="14"/>
        <v>0</v>
      </c>
      <c r="O61" s="196">
        <f>IFERROR(IF(($N$4-VLOOKUP(REGISTRO_MAESTRO_m3!X61,DISTRIBUCION_CONTENEDORES!$A$3:$D$530,2) ) &lt; 0,0,($N$4-VLOOKUP(X61,DISTRIBUCION_CONTENEDORES!$A$3:$D$530,2) ) * (M61/VLOOKUP(X61,DISTRIBUCION_CONTENEDORES!$A$3:$D$530,2))),0) *$N$5</f>
        <v>0</v>
      </c>
      <c r="P61" s="194">
        <f t="shared" si="19"/>
        <v>0</v>
      </c>
      <c r="Q61" s="190">
        <f t="shared" si="20"/>
        <v>0</v>
      </c>
      <c r="R61" s="188">
        <f t="shared" si="15"/>
        <v>0</v>
      </c>
      <c r="S61" s="213">
        <v>0</v>
      </c>
      <c r="T61" s="191">
        <f t="shared" si="16"/>
        <v>0</v>
      </c>
      <c r="U61" s="187">
        <f t="shared" si="21"/>
        <v>0</v>
      </c>
      <c r="V61" s="203">
        <f t="shared" si="17"/>
        <v>0</v>
      </c>
      <c r="W61" s="56">
        <f t="shared" si="22"/>
        <v>0</v>
      </c>
      <c r="X61" s="207">
        <v>0</v>
      </c>
      <c r="Y61" s="189">
        <v>0</v>
      </c>
      <c r="Z61" s="189">
        <f t="shared" si="18"/>
        <v>0</v>
      </c>
    </row>
    <row r="62" spans="1:26" x14ac:dyDescent="0.35">
      <c r="A62" s="176">
        <v>94</v>
      </c>
      <c r="B62" s="177"/>
      <c r="C62" s="178"/>
      <c r="D62" s="178"/>
      <c r="E62" s="178"/>
      <c r="F62" s="179"/>
      <c r="G62" s="179"/>
      <c r="H62" s="206"/>
      <c r="I62" s="179"/>
      <c r="J62" s="179"/>
      <c r="K62" s="179"/>
      <c r="L62" s="202">
        <v>0</v>
      </c>
      <c r="M62" s="200">
        <v>0</v>
      </c>
      <c r="N62" s="24">
        <f t="shared" si="14"/>
        <v>0</v>
      </c>
      <c r="O62" s="196">
        <f>IFERROR(IF(($N$4-VLOOKUP(REGISTRO_MAESTRO_m3!X62,DISTRIBUCION_CONTENEDORES!$A$3:$D$530,2) ) &lt; 0,0,($N$4-VLOOKUP(X62,DISTRIBUCION_CONTENEDORES!$A$3:$D$530,2) ) * (M62/VLOOKUP(X62,DISTRIBUCION_CONTENEDORES!$A$3:$D$530,2))),0) *$N$5</f>
        <v>0</v>
      </c>
      <c r="P62" s="194">
        <f t="shared" si="19"/>
        <v>0</v>
      </c>
      <c r="Q62" s="190">
        <f t="shared" si="20"/>
        <v>0</v>
      </c>
      <c r="R62" s="188">
        <f t="shared" si="15"/>
        <v>0</v>
      </c>
      <c r="S62" s="213">
        <v>0</v>
      </c>
      <c r="T62" s="191">
        <f t="shared" si="16"/>
        <v>0</v>
      </c>
      <c r="U62" s="187">
        <f t="shared" si="21"/>
        <v>0</v>
      </c>
      <c r="V62" s="203">
        <f t="shared" si="17"/>
        <v>0</v>
      </c>
      <c r="W62" s="56">
        <f t="shared" si="22"/>
        <v>0</v>
      </c>
      <c r="X62" s="207">
        <v>0</v>
      </c>
      <c r="Y62" s="189">
        <v>0</v>
      </c>
      <c r="Z62" s="189">
        <f t="shared" si="18"/>
        <v>0</v>
      </c>
    </row>
    <row r="63" spans="1:26" x14ac:dyDescent="0.35">
      <c r="A63" s="176">
        <v>95</v>
      </c>
      <c r="B63" s="177"/>
      <c r="C63" s="178"/>
      <c r="D63" s="178"/>
      <c r="E63" s="178"/>
      <c r="F63" s="179"/>
      <c r="G63" s="179"/>
      <c r="H63" s="206"/>
      <c r="I63" s="179"/>
      <c r="J63" s="179"/>
      <c r="K63" s="179"/>
      <c r="L63" s="202">
        <v>0</v>
      </c>
      <c r="M63" s="200">
        <v>0</v>
      </c>
      <c r="N63" s="24">
        <f t="shared" si="14"/>
        <v>0</v>
      </c>
      <c r="O63" s="196">
        <f>IFERROR(IF(($N$4-VLOOKUP(REGISTRO_MAESTRO_m3!X63,DISTRIBUCION_CONTENEDORES!$A$3:$D$530,2) ) &lt; 0,0,($N$4-VLOOKUP(X63,DISTRIBUCION_CONTENEDORES!$A$3:$D$530,2) ) * (M63/VLOOKUP(X63,DISTRIBUCION_CONTENEDORES!$A$3:$D$530,2))),0) *$N$5</f>
        <v>0</v>
      </c>
      <c r="P63" s="194">
        <f t="shared" si="19"/>
        <v>0</v>
      </c>
      <c r="Q63" s="190">
        <f t="shared" si="20"/>
        <v>0</v>
      </c>
      <c r="R63" s="188">
        <f t="shared" si="15"/>
        <v>0</v>
      </c>
      <c r="S63" s="213">
        <v>0</v>
      </c>
      <c r="T63" s="191">
        <f t="shared" si="16"/>
        <v>0</v>
      </c>
      <c r="U63" s="187">
        <f t="shared" si="21"/>
        <v>0</v>
      </c>
      <c r="V63" s="203">
        <f t="shared" si="17"/>
        <v>0</v>
      </c>
      <c r="W63" s="56">
        <f t="shared" si="22"/>
        <v>0</v>
      </c>
      <c r="X63" s="207">
        <v>0</v>
      </c>
      <c r="Y63" s="189">
        <v>0</v>
      </c>
      <c r="Z63" s="189">
        <f t="shared" si="18"/>
        <v>0</v>
      </c>
    </row>
    <row r="64" spans="1:26" x14ac:dyDescent="0.35">
      <c r="A64" s="176">
        <v>96</v>
      </c>
      <c r="B64" s="177"/>
      <c r="C64" s="178"/>
      <c r="D64" s="178"/>
      <c r="E64" s="178"/>
      <c r="F64" s="179"/>
      <c r="G64" s="179"/>
      <c r="H64" s="206"/>
      <c r="I64" s="179"/>
      <c r="J64" s="179"/>
      <c r="K64" s="179"/>
      <c r="L64" s="202">
        <v>0</v>
      </c>
      <c r="M64" s="200">
        <v>0</v>
      </c>
      <c r="N64" s="24">
        <f t="shared" si="14"/>
        <v>0</v>
      </c>
      <c r="O64" s="196">
        <f>IFERROR(IF(($N$4-VLOOKUP(REGISTRO_MAESTRO_m3!X64,DISTRIBUCION_CONTENEDORES!$A$3:$D$530,2) ) &lt; 0,0,($N$4-VLOOKUP(X64,DISTRIBUCION_CONTENEDORES!$A$3:$D$530,2) ) * (M64/VLOOKUP(X64,DISTRIBUCION_CONTENEDORES!$A$3:$D$530,2))),0) *$N$5</f>
        <v>0</v>
      </c>
      <c r="P64" s="194">
        <f t="shared" si="19"/>
        <v>0</v>
      </c>
      <c r="Q64" s="190">
        <f t="shared" si="20"/>
        <v>0</v>
      </c>
      <c r="R64" s="188">
        <f t="shared" si="15"/>
        <v>0</v>
      </c>
      <c r="S64" s="213">
        <v>0</v>
      </c>
      <c r="T64" s="191">
        <f t="shared" si="16"/>
        <v>0</v>
      </c>
      <c r="U64" s="187">
        <f t="shared" si="21"/>
        <v>0</v>
      </c>
      <c r="V64" s="203">
        <f t="shared" si="17"/>
        <v>0</v>
      </c>
      <c r="W64" s="56">
        <f t="shared" si="22"/>
        <v>0</v>
      </c>
      <c r="X64" s="207">
        <v>0</v>
      </c>
      <c r="Y64" s="189">
        <v>0</v>
      </c>
      <c r="Z64" s="189">
        <f t="shared" si="18"/>
        <v>0</v>
      </c>
    </row>
    <row r="65" spans="1:26" x14ac:dyDescent="0.35">
      <c r="A65" s="176">
        <v>97</v>
      </c>
      <c r="B65" s="177"/>
      <c r="C65" s="178"/>
      <c r="D65" s="178"/>
      <c r="E65" s="178"/>
      <c r="F65" s="179"/>
      <c r="G65" s="179"/>
      <c r="H65" s="206"/>
      <c r="I65" s="179"/>
      <c r="J65" s="179"/>
      <c r="K65" s="179"/>
      <c r="L65" s="202">
        <v>0</v>
      </c>
      <c r="M65" s="200">
        <v>0</v>
      </c>
      <c r="N65" s="24">
        <f t="shared" si="14"/>
        <v>0</v>
      </c>
      <c r="O65" s="196">
        <f>IFERROR(IF(($N$4-VLOOKUP(REGISTRO_MAESTRO_m3!X65,DISTRIBUCION_CONTENEDORES!$A$3:$D$530,2) ) &lt; 0,0,($N$4-VLOOKUP(X65,DISTRIBUCION_CONTENEDORES!$A$3:$D$530,2) ) * (M65/VLOOKUP(X65,DISTRIBUCION_CONTENEDORES!$A$3:$D$530,2))),0) *$N$5</f>
        <v>0</v>
      </c>
      <c r="P65" s="194">
        <f t="shared" si="19"/>
        <v>0</v>
      </c>
      <c r="Q65" s="190">
        <f t="shared" si="20"/>
        <v>0</v>
      </c>
      <c r="R65" s="188">
        <f t="shared" si="15"/>
        <v>0</v>
      </c>
      <c r="S65" s="213">
        <v>0</v>
      </c>
      <c r="T65" s="191">
        <f t="shared" si="16"/>
        <v>0</v>
      </c>
      <c r="U65" s="187">
        <f t="shared" si="21"/>
        <v>0</v>
      </c>
      <c r="V65" s="203">
        <f t="shared" si="17"/>
        <v>0</v>
      </c>
      <c r="W65" s="56">
        <f t="shared" si="22"/>
        <v>0</v>
      </c>
      <c r="X65" s="207">
        <v>0</v>
      </c>
      <c r="Y65" s="189">
        <v>0</v>
      </c>
      <c r="Z65" s="189">
        <f t="shared" si="18"/>
        <v>0</v>
      </c>
    </row>
    <row r="66" spans="1:26" x14ac:dyDescent="0.35">
      <c r="A66" s="176">
        <v>98</v>
      </c>
      <c r="B66" s="177"/>
      <c r="C66" s="178"/>
      <c r="D66" s="178"/>
      <c r="E66" s="178"/>
      <c r="F66" s="179"/>
      <c r="G66" s="179"/>
      <c r="H66" s="206"/>
      <c r="I66" s="179"/>
      <c r="J66" s="179"/>
      <c r="K66" s="179"/>
      <c r="L66" s="202">
        <v>0</v>
      </c>
      <c r="M66" s="200">
        <v>0</v>
      </c>
      <c r="N66" s="24">
        <f t="shared" si="14"/>
        <v>0</v>
      </c>
      <c r="O66" s="196">
        <f>IFERROR(IF(($N$4-VLOOKUP(REGISTRO_MAESTRO_m3!X66,DISTRIBUCION_CONTENEDORES!$A$3:$D$530,2) ) &lt; 0,0,($N$4-VLOOKUP(X66,DISTRIBUCION_CONTENEDORES!$A$3:$D$530,2) ) * (M66/VLOOKUP(X66,DISTRIBUCION_CONTENEDORES!$A$3:$D$530,2))),0) *$N$5</f>
        <v>0</v>
      </c>
      <c r="P66" s="194">
        <f t="shared" si="19"/>
        <v>0</v>
      </c>
      <c r="Q66" s="190">
        <f t="shared" si="20"/>
        <v>0</v>
      </c>
      <c r="R66" s="188">
        <f t="shared" si="15"/>
        <v>0</v>
      </c>
      <c r="S66" s="213">
        <v>0</v>
      </c>
      <c r="T66" s="191">
        <f t="shared" si="16"/>
        <v>0</v>
      </c>
      <c r="U66" s="187">
        <f t="shared" si="21"/>
        <v>0</v>
      </c>
      <c r="V66" s="203">
        <f t="shared" si="17"/>
        <v>0</v>
      </c>
      <c r="W66" s="56">
        <f t="shared" si="22"/>
        <v>0</v>
      </c>
      <c r="X66" s="207">
        <v>0</v>
      </c>
      <c r="Y66" s="189">
        <v>0</v>
      </c>
      <c r="Z66" s="189">
        <f t="shared" si="18"/>
        <v>0</v>
      </c>
    </row>
    <row r="67" spans="1:26" x14ac:dyDescent="0.35">
      <c r="A67" s="176">
        <v>99</v>
      </c>
      <c r="B67" s="177"/>
      <c r="C67" s="178"/>
      <c r="D67" s="178"/>
      <c r="E67" s="178"/>
      <c r="F67" s="179"/>
      <c r="G67" s="179"/>
      <c r="H67" s="206"/>
      <c r="I67" s="179"/>
      <c r="J67" s="179"/>
      <c r="K67" s="179"/>
      <c r="L67" s="202">
        <v>0</v>
      </c>
      <c r="M67" s="200">
        <v>0</v>
      </c>
      <c r="N67" s="24">
        <f t="shared" si="14"/>
        <v>0</v>
      </c>
      <c r="O67" s="196">
        <f>IFERROR(IF(($N$4-VLOOKUP(REGISTRO_MAESTRO_m3!X67,DISTRIBUCION_CONTENEDORES!$A$3:$D$530,2) ) &lt; 0,0,($N$4-VLOOKUP(X67,DISTRIBUCION_CONTENEDORES!$A$3:$D$530,2) ) * (M67/VLOOKUP(X67,DISTRIBUCION_CONTENEDORES!$A$3:$D$530,2))),0) *$N$5</f>
        <v>0</v>
      </c>
      <c r="P67" s="194">
        <f t="shared" si="19"/>
        <v>0</v>
      </c>
      <c r="Q67" s="190">
        <f t="shared" si="20"/>
        <v>0</v>
      </c>
      <c r="R67" s="188">
        <f t="shared" si="15"/>
        <v>0</v>
      </c>
      <c r="S67" s="213">
        <v>0</v>
      </c>
      <c r="T67" s="191">
        <f t="shared" si="16"/>
        <v>0</v>
      </c>
      <c r="U67" s="187">
        <f t="shared" si="21"/>
        <v>0</v>
      </c>
      <c r="V67" s="203">
        <f t="shared" si="17"/>
        <v>0</v>
      </c>
      <c r="W67" s="56">
        <f t="shared" si="22"/>
        <v>0</v>
      </c>
      <c r="X67" s="207">
        <v>0</v>
      </c>
      <c r="Y67" s="189">
        <v>0</v>
      </c>
      <c r="Z67" s="189">
        <f t="shared" si="18"/>
        <v>0</v>
      </c>
    </row>
    <row r="68" spans="1:26" x14ac:dyDescent="0.35">
      <c r="A68" s="176">
        <v>100</v>
      </c>
      <c r="B68" s="177"/>
      <c r="C68" s="178"/>
      <c r="D68" s="178"/>
      <c r="E68" s="178"/>
      <c r="F68" s="179"/>
      <c r="G68" s="179"/>
      <c r="H68" s="206"/>
      <c r="I68" s="179"/>
      <c r="J68" s="179"/>
      <c r="K68" s="179"/>
      <c r="L68" s="202">
        <v>0</v>
      </c>
      <c r="M68" s="200">
        <v>0</v>
      </c>
      <c r="N68" s="24">
        <f t="shared" si="14"/>
        <v>0</v>
      </c>
      <c r="O68" s="196">
        <f>IFERROR(IF(($N$4-VLOOKUP(REGISTRO_MAESTRO_m3!X68,DISTRIBUCION_CONTENEDORES!$A$3:$D$530,2) ) &lt; 0,0,($N$4-VLOOKUP(X68,DISTRIBUCION_CONTENEDORES!$A$3:$D$530,2) ) * (M68/VLOOKUP(X68,DISTRIBUCION_CONTENEDORES!$A$3:$D$530,2))),0) *$N$5</f>
        <v>0</v>
      </c>
      <c r="P68" s="194">
        <f t="shared" si="19"/>
        <v>0</v>
      </c>
      <c r="Q68" s="190">
        <f t="shared" si="20"/>
        <v>0</v>
      </c>
      <c r="R68" s="188">
        <f t="shared" si="15"/>
        <v>0</v>
      </c>
      <c r="S68" s="213">
        <v>0</v>
      </c>
      <c r="T68" s="191">
        <f t="shared" si="16"/>
        <v>0</v>
      </c>
      <c r="U68" s="187">
        <f t="shared" si="21"/>
        <v>0</v>
      </c>
      <c r="V68" s="203">
        <f t="shared" si="17"/>
        <v>0</v>
      </c>
      <c r="W68" s="56">
        <f t="shared" si="22"/>
        <v>0</v>
      </c>
      <c r="X68" s="207">
        <v>0</v>
      </c>
      <c r="Y68" s="189">
        <v>0</v>
      </c>
      <c r="Z68" s="189">
        <f t="shared" si="18"/>
        <v>0</v>
      </c>
    </row>
    <row r="69" spans="1:26" x14ac:dyDescent="0.35">
      <c r="A69" s="176">
        <v>101</v>
      </c>
      <c r="B69" s="177"/>
      <c r="C69" s="178"/>
      <c r="D69" s="178"/>
      <c r="E69" s="178"/>
      <c r="F69" s="179"/>
      <c r="G69" s="179"/>
      <c r="H69" s="206"/>
      <c r="I69" s="179"/>
      <c r="J69" s="179"/>
      <c r="K69" s="179"/>
      <c r="L69" s="202">
        <v>0</v>
      </c>
      <c r="M69" s="200">
        <v>0</v>
      </c>
      <c r="N69" s="24">
        <f t="shared" si="14"/>
        <v>0</v>
      </c>
      <c r="O69" s="196">
        <f>IFERROR(IF(($N$4-VLOOKUP(REGISTRO_MAESTRO_m3!X69,DISTRIBUCION_CONTENEDORES!$A$3:$D$530,2) ) &lt; 0,0,($N$4-VLOOKUP(X69,DISTRIBUCION_CONTENEDORES!$A$3:$D$530,2) ) * (M69/VLOOKUP(X69,DISTRIBUCION_CONTENEDORES!$A$3:$D$530,2))),0) *$N$5</f>
        <v>0</v>
      </c>
      <c r="P69" s="194">
        <f t="shared" si="19"/>
        <v>0</v>
      </c>
      <c r="Q69" s="190">
        <f t="shared" si="20"/>
        <v>0</v>
      </c>
      <c r="R69" s="188">
        <f t="shared" si="15"/>
        <v>0</v>
      </c>
      <c r="S69" s="213">
        <v>0</v>
      </c>
      <c r="T69" s="191">
        <f t="shared" si="16"/>
        <v>0</v>
      </c>
      <c r="U69" s="187">
        <f t="shared" si="21"/>
        <v>0</v>
      </c>
      <c r="V69" s="203">
        <f t="shared" si="17"/>
        <v>0</v>
      </c>
      <c r="W69" s="56">
        <f t="shared" si="22"/>
        <v>0</v>
      </c>
      <c r="X69" s="207">
        <v>0</v>
      </c>
      <c r="Y69" s="189">
        <v>0</v>
      </c>
      <c r="Z69" s="189">
        <f t="shared" si="18"/>
        <v>0</v>
      </c>
    </row>
    <row r="70" spans="1:26" x14ac:dyDescent="0.35">
      <c r="A70" s="176">
        <v>102</v>
      </c>
      <c r="B70" s="177"/>
      <c r="C70" s="178"/>
      <c r="D70" s="178"/>
      <c r="E70" s="178"/>
      <c r="F70" s="179"/>
      <c r="G70" s="179"/>
      <c r="H70" s="206"/>
      <c r="I70" s="179"/>
      <c r="J70" s="179"/>
      <c r="K70" s="179"/>
      <c r="L70" s="202">
        <v>0</v>
      </c>
      <c r="M70" s="200">
        <v>0</v>
      </c>
      <c r="N70" s="24">
        <f t="shared" si="14"/>
        <v>0</v>
      </c>
      <c r="O70" s="196">
        <f>IFERROR(IF(($N$4-VLOOKUP(REGISTRO_MAESTRO_m3!X70,DISTRIBUCION_CONTENEDORES!$A$3:$D$530,2) ) &lt; 0,0,($N$4-VLOOKUP(X70,DISTRIBUCION_CONTENEDORES!$A$3:$D$530,2) ) * (M70/VLOOKUP(X70,DISTRIBUCION_CONTENEDORES!$A$3:$D$530,2))),0) *$N$5</f>
        <v>0</v>
      </c>
      <c r="P70" s="194">
        <f t="shared" si="19"/>
        <v>0</v>
      </c>
      <c r="Q70" s="190">
        <f t="shared" si="20"/>
        <v>0</v>
      </c>
      <c r="R70" s="188">
        <f t="shared" si="15"/>
        <v>0</v>
      </c>
      <c r="S70" s="213">
        <v>0</v>
      </c>
      <c r="T70" s="191">
        <f t="shared" si="16"/>
        <v>0</v>
      </c>
      <c r="U70" s="187">
        <f t="shared" si="21"/>
        <v>0</v>
      </c>
      <c r="V70" s="203">
        <f t="shared" si="17"/>
        <v>0</v>
      </c>
      <c r="W70" s="56">
        <f t="shared" si="22"/>
        <v>0</v>
      </c>
      <c r="X70" s="207">
        <v>0</v>
      </c>
      <c r="Y70" s="189">
        <v>0</v>
      </c>
      <c r="Z70" s="189">
        <f t="shared" si="18"/>
        <v>0</v>
      </c>
    </row>
    <row r="71" spans="1:26" x14ac:dyDescent="0.35">
      <c r="A71" s="176">
        <v>103</v>
      </c>
      <c r="B71" s="177"/>
      <c r="C71" s="178"/>
      <c r="D71" s="178"/>
      <c r="E71" s="178"/>
      <c r="F71" s="179"/>
      <c r="G71" s="179"/>
      <c r="H71" s="206"/>
      <c r="I71" s="179"/>
      <c r="J71" s="179"/>
      <c r="K71" s="179"/>
      <c r="L71" s="202">
        <v>0</v>
      </c>
      <c r="M71" s="200">
        <v>0</v>
      </c>
      <c r="N71" s="24">
        <f t="shared" si="14"/>
        <v>0</v>
      </c>
      <c r="O71" s="196">
        <f>IFERROR(IF(($N$4-VLOOKUP(REGISTRO_MAESTRO_m3!X71,DISTRIBUCION_CONTENEDORES!$A$3:$D$530,2) ) &lt; 0,0,($N$4-VLOOKUP(X71,DISTRIBUCION_CONTENEDORES!$A$3:$D$530,2) ) * (M71/VLOOKUP(X71,DISTRIBUCION_CONTENEDORES!$A$3:$D$530,2))),0) *$N$5</f>
        <v>0</v>
      </c>
      <c r="P71" s="194">
        <f t="shared" si="19"/>
        <v>0</v>
      </c>
      <c r="Q71" s="190">
        <f t="shared" si="20"/>
        <v>0</v>
      </c>
      <c r="R71" s="188">
        <f t="shared" si="15"/>
        <v>0</v>
      </c>
      <c r="S71" s="213">
        <v>0</v>
      </c>
      <c r="T71" s="191">
        <f t="shared" si="16"/>
        <v>0</v>
      </c>
      <c r="U71" s="187">
        <f t="shared" si="21"/>
        <v>0</v>
      </c>
      <c r="V71" s="203">
        <f t="shared" si="17"/>
        <v>0</v>
      </c>
      <c r="W71" s="56">
        <f t="shared" si="22"/>
        <v>0</v>
      </c>
      <c r="X71" s="207">
        <v>0</v>
      </c>
      <c r="Y71" s="189">
        <v>0</v>
      </c>
      <c r="Z71" s="189">
        <f t="shared" si="18"/>
        <v>0</v>
      </c>
    </row>
    <row r="72" spans="1:26" x14ac:dyDescent="0.35">
      <c r="A72" s="176">
        <v>104</v>
      </c>
      <c r="B72" s="177"/>
      <c r="C72" s="178"/>
      <c r="D72" s="178"/>
      <c r="E72" s="178"/>
      <c r="F72" s="179"/>
      <c r="G72" s="179"/>
      <c r="H72" s="206"/>
      <c r="I72" s="179"/>
      <c r="J72" s="179"/>
      <c r="K72" s="179"/>
      <c r="L72" s="202">
        <v>0</v>
      </c>
      <c r="M72" s="200">
        <v>0</v>
      </c>
      <c r="N72" s="24">
        <f t="shared" si="14"/>
        <v>0</v>
      </c>
      <c r="O72" s="196">
        <f>IFERROR(IF(($N$4-VLOOKUP(REGISTRO_MAESTRO_m3!X72,DISTRIBUCION_CONTENEDORES!$A$3:$D$530,2) ) &lt; 0,0,($N$4-VLOOKUP(X72,DISTRIBUCION_CONTENEDORES!$A$3:$D$530,2) ) * (M72/VLOOKUP(X72,DISTRIBUCION_CONTENEDORES!$A$3:$D$530,2))),0) *$N$5</f>
        <v>0</v>
      </c>
      <c r="P72" s="194">
        <f t="shared" si="19"/>
        <v>0</v>
      </c>
      <c r="Q72" s="190">
        <f t="shared" si="20"/>
        <v>0</v>
      </c>
      <c r="R72" s="188">
        <f t="shared" si="15"/>
        <v>0</v>
      </c>
      <c r="S72" s="213">
        <v>0</v>
      </c>
      <c r="T72" s="191">
        <f t="shared" si="16"/>
        <v>0</v>
      </c>
      <c r="U72" s="187">
        <f t="shared" si="21"/>
        <v>0</v>
      </c>
      <c r="V72" s="203">
        <f t="shared" si="17"/>
        <v>0</v>
      </c>
      <c r="W72" s="56">
        <f t="shared" si="22"/>
        <v>0</v>
      </c>
      <c r="X72" s="207">
        <v>0</v>
      </c>
      <c r="Y72" s="189">
        <v>0</v>
      </c>
      <c r="Z72" s="189">
        <f t="shared" si="18"/>
        <v>0</v>
      </c>
    </row>
    <row r="73" spans="1:26" x14ac:dyDescent="0.35">
      <c r="A73" s="176">
        <v>105</v>
      </c>
      <c r="B73" s="177"/>
      <c r="C73" s="178"/>
      <c r="D73" s="178"/>
      <c r="E73" s="178"/>
      <c r="F73" s="179"/>
      <c r="G73" s="179"/>
      <c r="H73" s="206"/>
      <c r="I73" s="179"/>
      <c r="J73" s="179"/>
      <c r="K73" s="179"/>
      <c r="L73" s="202">
        <v>0</v>
      </c>
      <c r="M73" s="200">
        <v>0</v>
      </c>
      <c r="N73" s="24">
        <f t="shared" si="14"/>
        <v>0</v>
      </c>
      <c r="O73" s="196">
        <f>IFERROR(IF(($N$4-VLOOKUP(REGISTRO_MAESTRO_m3!X73,DISTRIBUCION_CONTENEDORES!$A$3:$D$530,2) ) &lt; 0,0,($N$4-VLOOKUP(X73,DISTRIBUCION_CONTENEDORES!$A$3:$D$530,2) ) * (M73/VLOOKUP(X73,DISTRIBUCION_CONTENEDORES!$A$3:$D$530,2))),0) *$N$5</f>
        <v>0</v>
      </c>
      <c r="P73" s="194">
        <f t="shared" si="19"/>
        <v>0</v>
      </c>
      <c r="Q73" s="190">
        <f t="shared" si="20"/>
        <v>0</v>
      </c>
      <c r="R73" s="188">
        <f t="shared" si="15"/>
        <v>0</v>
      </c>
      <c r="S73" s="213">
        <v>0</v>
      </c>
      <c r="T73" s="191">
        <f t="shared" si="16"/>
        <v>0</v>
      </c>
      <c r="U73" s="187">
        <f t="shared" si="21"/>
        <v>0</v>
      </c>
      <c r="V73" s="203">
        <f t="shared" si="17"/>
        <v>0</v>
      </c>
      <c r="W73" s="56">
        <f t="shared" si="22"/>
        <v>0</v>
      </c>
      <c r="X73" s="207">
        <v>0</v>
      </c>
      <c r="Y73" s="189">
        <v>0</v>
      </c>
      <c r="Z73" s="189">
        <f t="shared" si="18"/>
        <v>0</v>
      </c>
    </row>
    <row r="74" spans="1:26" x14ac:dyDescent="0.35">
      <c r="A74" s="176">
        <v>106</v>
      </c>
      <c r="B74" s="177"/>
      <c r="C74" s="178"/>
      <c r="D74" s="178"/>
      <c r="E74" s="178"/>
      <c r="F74" s="179"/>
      <c r="G74" s="179"/>
      <c r="H74" s="206"/>
      <c r="I74" s="179"/>
      <c r="J74" s="179"/>
      <c r="K74" s="179"/>
      <c r="L74" s="202">
        <v>0</v>
      </c>
      <c r="M74" s="200">
        <v>0</v>
      </c>
      <c r="N74" s="24">
        <f t="shared" si="14"/>
        <v>0</v>
      </c>
      <c r="O74" s="196">
        <f>IFERROR(IF(($N$4-VLOOKUP(REGISTRO_MAESTRO_m3!X74,DISTRIBUCION_CONTENEDORES!$A$3:$D$530,2) ) &lt; 0,0,($N$4-VLOOKUP(X74,DISTRIBUCION_CONTENEDORES!$A$3:$D$530,2) ) * (M74/VLOOKUP(X74,DISTRIBUCION_CONTENEDORES!$A$3:$D$530,2))),0) *$N$5</f>
        <v>0</v>
      </c>
      <c r="P74" s="194">
        <f t="shared" si="19"/>
        <v>0</v>
      </c>
      <c r="Q74" s="190">
        <f t="shared" si="20"/>
        <v>0</v>
      </c>
      <c r="R74" s="188">
        <f t="shared" si="15"/>
        <v>0</v>
      </c>
      <c r="S74" s="213">
        <v>0</v>
      </c>
      <c r="T74" s="191">
        <f t="shared" si="16"/>
        <v>0</v>
      </c>
      <c r="U74" s="187">
        <f t="shared" si="21"/>
        <v>0</v>
      </c>
      <c r="V74" s="203">
        <f t="shared" si="17"/>
        <v>0</v>
      </c>
      <c r="W74" s="56">
        <f t="shared" si="22"/>
        <v>0</v>
      </c>
      <c r="X74" s="207">
        <v>0</v>
      </c>
      <c r="Y74" s="189">
        <v>0</v>
      </c>
      <c r="Z74" s="189">
        <f t="shared" si="18"/>
        <v>0</v>
      </c>
    </row>
    <row r="75" spans="1:26" x14ac:dyDescent="0.35">
      <c r="A75" s="176">
        <v>107</v>
      </c>
      <c r="B75" s="177"/>
      <c r="C75" s="178"/>
      <c r="D75" s="178"/>
      <c r="E75" s="178"/>
      <c r="F75" s="179"/>
      <c r="G75" s="179"/>
      <c r="H75" s="206"/>
      <c r="I75" s="179"/>
      <c r="J75" s="179"/>
      <c r="K75" s="179"/>
      <c r="L75" s="202">
        <v>0</v>
      </c>
      <c r="M75" s="200">
        <v>0</v>
      </c>
      <c r="N75" s="24">
        <f t="shared" si="14"/>
        <v>0</v>
      </c>
      <c r="O75" s="196">
        <f>IFERROR(IF(($N$4-VLOOKUP(REGISTRO_MAESTRO_m3!X75,DISTRIBUCION_CONTENEDORES!$A$3:$D$530,2) ) &lt; 0,0,($N$4-VLOOKUP(X75,DISTRIBUCION_CONTENEDORES!$A$3:$D$530,2) ) * (M75/VLOOKUP(X75,DISTRIBUCION_CONTENEDORES!$A$3:$D$530,2))),0) *$N$5</f>
        <v>0</v>
      </c>
      <c r="P75" s="194">
        <f t="shared" si="19"/>
        <v>0</v>
      </c>
      <c r="Q75" s="190">
        <f t="shared" si="20"/>
        <v>0</v>
      </c>
      <c r="R75" s="188">
        <f t="shared" si="15"/>
        <v>0</v>
      </c>
      <c r="S75" s="213">
        <v>0</v>
      </c>
      <c r="T75" s="191">
        <f t="shared" si="16"/>
        <v>0</v>
      </c>
      <c r="U75" s="187">
        <f t="shared" si="21"/>
        <v>0</v>
      </c>
      <c r="V75" s="203">
        <f t="shared" si="17"/>
        <v>0</v>
      </c>
      <c r="W75" s="56">
        <f t="shared" si="22"/>
        <v>0</v>
      </c>
      <c r="X75" s="207">
        <v>0</v>
      </c>
      <c r="Y75" s="189">
        <v>0</v>
      </c>
      <c r="Z75" s="189">
        <f t="shared" si="18"/>
        <v>0</v>
      </c>
    </row>
    <row r="76" spans="1:26" x14ac:dyDescent="0.35">
      <c r="A76" s="176">
        <v>108</v>
      </c>
      <c r="B76" s="177"/>
      <c r="C76" s="178"/>
      <c r="D76" s="178"/>
      <c r="E76" s="178"/>
      <c r="F76" s="179"/>
      <c r="G76" s="179"/>
      <c r="H76" s="206"/>
      <c r="I76" s="179"/>
      <c r="J76" s="179"/>
      <c r="K76" s="179"/>
      <c r="L76" s="202">
        <v>0</v>
      </c>
      <c r="M76" s="200">
        <v>0</v>
      </c>
      <c r="N76" s="24">
        <f t="shared" si="14"/>
        <v>0</v>
      </c>
      <c r="O76" s="196">
        <f>IFERROR(IF(($N$4-VLOOKUP(REGISTRO_MAESTRO_m3!X76,DISTRIBUCION_CONTENEDORES!$A$3:$D$530,2) ) &lt; 0,0,($N$4-VLOOKUP(X76,DISTRIBUCION_CONTENEDORES!$A$3:$D$530,2) ) * (M76/VLOOKUP(X76,DISTRIBUCION_CONTENEDORES!$A$3:$D$530,2))),0) *$N$5</f>
        <v>0</v>
      </c>
      <c r="P76" s="194">
        <f t="shared" si="19"/>
        <v>0</v>
      </c>
      <c r="Q76" s="190">
        <f t="shared" si="20"/>
        <v>0</v>
      </c>
      <c r="R76" s="188">
        <f t="shared" si="15"/>
        <v>0</v>
      </c>
      <c r="S76" s="213">
        <v>0</v>
      </c>
      <c r="T76" s="191">
        <f t="shared" si="16"/>
        <v>0</v>
      </c>
      <c r="U76" s="187">
        <f t="shared" si="21"/>
        <v>0</v>
      </c>
      <c r="V76" s="203">
        <f t="shared" si="17"/>
        <v>0</v>
      </c>
      <c r="W76" s="56">
        <f t="shared" si="22"/>
        <v>0</v>
      </c>
      <c r="X76" s="207">
        <v>0</v>
      </c>
      <c r="Y76" s="189">
        <v>0</v>
      </c>
      <c r="Z76" s="189">
        <f t="shared" si="18"/>
        <v>0</v>
      </c>
    </row>
    <row r="77" spans="1:26" x14ac:dyDescent="0.35">
      <c r="A77" s="176">
        <v>109</v>
      </c>
      <c r="B77" s="177"/>
      <c r="C77" s="178"/>
      <c r="D77" s="178"/>
      <c r="E77" s="178"/>
      <c r="F77" s="179"/>
      <c r="G77" s="179"/>
      <c r="H77" s="206"/>
      <c r="I77" s="179"/>
      <c r="J77" s="179"/>
      <c r="K77" s="179"/>
      <c r="L77" s="202">
        <v>0</v>
      </c>
      <c r="M77" s="200">
        <v>0</v>
      </c>
      <c r="N77" s="24">
        <f t="shared" si="14"/>
        <v>0</v>
      </c>
      <c r="O77" s="196">
        <f>IFERROR(IF(($N$4-VLOOKUP(REGISTRO_MAESTRO_m3!X77,DISTRIBUCION_CONTENEDORES!$A$3:$D$530,2) ) &lt; 0,0,($N$4-VLOOKUP(X77,DISTRIBUCION_CONTENEDORES!$A$3:$D$530,2) ) * (M77/VLOOKUP(X77,DISTRIBUCION_CONTENEDORES!$A$3:$D$530,2))),0) *$N$5</f>
        <v>0</v>
      </c>
      <c r="P77" s="194">
        <f t="shared" si="19"/>
        <v>0</v>
      </c>
      <c r="Q77" s="190">
        <f t="shared" si="20"/>
        <v>0</v>
      </c>
      <c r="R77" s="188">
        <f t="shared" si="15"/>
        <v>0</v>
      </c>
      <c r="S77" s="213">
        <v>0</v>
      </c>
      <c r="T77" s="191">
        <f t="shared" si="16"/>
        <v>0</v>
      </c>
      <c r="U77" s="187">
        <f t="shared" si="21"/>
        <v>0</v>
      </c>
      <c r="V77" s="203">
        <f t="shared" si="17"/>
        <v>0</v>
      </c>
      <c r="W77" s="56">
        <f t="shared" si="22"/>
        <v>0</v>
      </c>
      <c r="X77" s="207">
        <v>0</v>
      </c>
      <c r="Y77" s="189">
        <v>0</v>
      </c>
      <c r="Z77" s="189">
        <f t="shared" si="18"/>
        <v>0</v>
      </c>
    </row>
    <row r="78" spans="1:26" x14ac:dyDescent="0.35">
      <c r="A78" s="176">
        <v>110</v>
      </c>
      <c r="B78" s="177"/>
      <c r="C78" s="178"/>
      <c r="D78" s="178"/>
      <c r="E78" s="178"/>
      <c r="F78" s="179"/>
      <c r="G78" s="179"/>
      <c r="H78" s="206"/>
      <c r="I78" s="179"/>
      <c r="J78" s="179"/>
      <c r="K78" s="179"/>
      <c r="L78" s="202">
        <v>0</v>
      </c>
      <c r="M78" s="200">
        <v>0</v>
      </c>
      <c r="N78" s="24">
        <f t="shared" si="14"/>
        <v>0</v>
      </c>
      <c r="O78" s="196">
        <f>IFERROR(IF(($N$4-VLOOKUP(REGISTRO_MAESTRO_m3!X78,DISTRIBUCION_CONTENEDORES!$A$3:$D$530,2) ) &lt; 0,0,($N$4-VLOOKUP(X78,DISTRIBUCION_CONTENEDORES!$A$3:$D$530,2) ) * (M78/VLOOKUP(X78,DISTRIBUCION_CONTENEDORES!$A$3:$D$530,2))),0) *$N$5</f>
        <v>0</v>
      </c>
      <c r="P78" s="194">
        <f t="shared" si="19"/>
        <v>0</v>
      </c>
      <c r="Q78" s="190">
        <f t="shared" si="20"/>
        <v>0</v>
      </c>
      <c r="R78" s="188">
        <f t="shared" si="15"/>
        <v>0</v>
      </c>
      <c r="S78" s="213">
        <v>0</v>
      </c>
      <c r="T78" s="191">
        <f t="shared" si="16"/>
        <v>0</v>
      </c>
      <c r="U78" s="187">
        <f t="shared" si="21"/>
        <v>0</v>
      </c>
      <c r="V78" s="203">
        <f t="shared" si="17"/>
        <v>0</v>
      </c>
      <c r="W78" s="56">
        <f t="shared" si="22"/>
        <v>0</v>
      </c>
      <c r="X78" s="207">
        <v>0</v>
      </c>
      <c r="Y78" s="189">
        <v>0</v>
      </c>
      <c r="Z78" s="189">
        <f t="shared" si="18"/>
        <v>0</v>
      </c>
    </row>
    <row r="79" spans="1:26" x14ac:dyDescent="0.35">
      <c r="A79" s="176">
        <v>111</v>
      </c>
      <c r="B79" s="177"/>
      <c r="C79" s="178"/>
      <c r="D79" s="178"/>
      <c r="E79" s="178"/>
      <c r="F79" s="179"/>
      <c r="G79" s="179"/>
      <c r="H79" s="206"/>
      <c r="I79" s="179"/>
      <c r="J79" s="179"/>
      <c r="K79" s="179"/>
      <c r="L79" s="202">
        <v>0</v>
      </c>
      <c r="M79" s="200">
        <v>0</v>
      </c>
      <c r="N79" s="24">
        <f t="shared" si="14"/>
        <v>0</v>
      </c>
      <c r="O79" s="196">
        <f>IFERROR(IF(($N$4-VLOOKUP(REGISTRO_MAESTRO_m3!X79,DISTRIBUCION_CONTENEDORES!$A$3:$D$530,2) ) &lt; 0,0,($N$4-VLOOKUP(X79,DISTRIBUCION_CONTENEDORES!$A$3:$D$530,2) ) * (M79/VLOOKUP(X79,DISTRIBUCION_CONTENEDORES!$A$3:$D$530,2))),0) *$N$5</f>
        <v>0</v>
      </c>
      <c r="P79" s="194">
        <f t="shared" si="19"/>
        <v>0</v>
      </c>
      <c r="Q79" s="190">
        <f t="shared" si="20"/>
        <v>0</v>
      </c>
      <c r="R79" s="188">
        <f t="shared" si="15"/>
        <v>0</v>
      </c>
      <c r="S79" s="213">
        <v>0</v>
      </c>
      <c r="T79" s="191">
        <f t="shared" si="16"/>
        <v>0</v>
      </c>
      <c r="U79" s="187">
        <f t="shared" si="21"/>
        <v>0</v>
      </c>
      <c r="V79" s="203">
        <f t="shared" si="17"/>
        <v>0</v>
      </c>
      <c r="W79" s="56">
        <f t="shared" si="22"/>
        <v>0</v>
      </c>
      <c r="X79" s="207">
        <v>0</v>
      </c>
      <c r="Y79" s="189">
        <v>0</v>
      </c>
      <c r="Z79" s="189">
        <f t="shared" si="18"/>
        <v>0</v>
      </c>
    </row>
    <row r="80" spans="1:26" x14ac:dyDescent="0.35">
      <c r="A80" s="176">
        <v>112</v>
      </c>
      <c r="B80" s="177"/>
      <c r="C80" s="178"/>
      <c r="D80" s="178"/>
      <c r="E80" s="178"/>
      <c r="F80" s="179"/>
      <c r="G80" s="179"/>
      <c r="H80" s="206"/>
      <c r="I80" s="179"/>
      <c r="J80" s="179"/>
      <c r="K80" s="179"/>
      <c r="L80" s="202">
        <v>0</v>
      </c>
      <c r="M80" s="200">
        <v>0</v>
      </c>
      <c r="N80" s="24">
        <f t="shared" si="14"/>
        <v>0</v>
      </c>
      <c r="O80" s="196">
        <f>IFERROR(IF(($N$4-VLOOKUP(REGISTRO_MAESTRO_m3!X80,DISTRIBUCION_CONTENEDORES!$A$3:$D$530,2) ) &lt; 0,0,($N$4-VLOOKUP(X80,DISTRIBUCION_CONTENEDORES!$A$3:$D$530,2) ) * (M80/VLOOKUP(X80,DISTRIBUCION_CONTENEDORES!$A$3:$D$530,2))),0) *$N$5</f>
        <v>0</v>
      </c>
      <c r="P80" s="194">
        <f t="shared" si="19"/>
        <v>0</v>
      </c>
      <c r="Q80" s="190">
        <f t="shared" si="20"/>
        <v>0</v>
      </c>
      <c r="R80" s="188">
        <f t="shared" si="15"/>
        <v>0</v>
      </c>
      <c r="S80" s="213">
        <v>0</v>
      </c>
      <c r="T80" s="191">
        <f t="shared" si="16"/>
        <v>0</v>
      </c>
      <c r="U80" s="187">
        <f t="shared" si="21"/>
        <v>0</v>
      </c>
      <c r="V80" s="203">
        <f t="shared" si="17"/>
        <v>0</v>
      </c>
      <c r="W80" s="56">
        <f t="shared" si="22"/>
        <v>0</v>
      </c>
      <c r="X80" s="207">
        <v>0</v>
      </c>
      <c r="Y80" s="189">
        <v>0</v>
      </c>
      <c r="Z80" s="189">
        <f t="shared" si="18"/>
        <v>0</v>
      </c>
    </row>
    <row r="81" spans="1:26" x14ac:dyDescent="0.35">
      <c r="A81" s="176">
        <v>113</v>
      </c>
      <c r="B81" s="177"/>
      <c r="C81" s="178"/>
      <c r="D81" s="178"/>
      <c r="E81" s="178"/>
      <c r="F81" s="179"/>
      <c r="G81" s="179"/>
      <c r="H81" s="206"/>
      <c r="I81" s="179"/>
      <c r="J81" s="179"/>
      <c r="K81" s="179"/>
      <c r="L81" s="202">
        <v>0</v>
      </c>
      <c r="M81" s="200">
        <v>0</v>
      </c>
      <c r="N81" s="24">
        <f t="shared" si="14"/>
        <v>0</v>
      </c>
      <c r="O81" s="196">
        <f>IFERROR(IF(($N$4-VLOOKUP(REGISTRO_MAESTRO_m3!X81,DISTRIBUCION_CONTENEDORES!$A$3:$D$530,2) ) &lt; 0,0,($N$4-VLOOKUP(X81,DISTRIBUCION_CONTENEDORES!$A$3:$D$530,2) ) * (M81/VLOOKUP(X81,DISTRIBUCION_CONTENEDORES!$A$3:$D$530,2))),0) *$N$5</f>
        <v>0</v>
      </c>
      <c r="P81" s="194">
        <f t="shared" si="19"/>
        <v>0</v>
      </c>
      <c r="Q81" s="190">
        <f t="shared" si="20"/>
        <v>0</v>
      </c>
      <c r="R81" s="188">
        <f t="shared" si="15"/>
        <v>0</v>
      </c>
      <c r="S81" s="213">
        <v>0</v>
      </c>
      <c r="T81" s="191">
        <f t="shared" si="16"/>
        <v>0</v>
      </c>
      <c r="U81" s="187">
        <f t="shared" si="21"/>
        <v>0</v>
      </c>
      <c r="V81" s="203">
        <f t="shared" si="17"/>
        <v>0</v>
      </c>
      <c r="W81" s="56">
        <f t="shared" si="22"/>
        <v>0</v>
      </c>
      <c r="X81" s="207">
        <v>0</v>
      </c>
      <c r="Y81" s="189">
        <v>0</v>
      </c>
      <c r="Z81" s="189">
        <f t="shared" si="18"/>
        <v>0</v>
      </c>
    </row>
    <row r="82" spans="1:26" x14ac:dyDescent="0.35">
      <c r="A82" s="176">
        <v>114</v>
      </c>
      <c r="B82" s="177"/>
      <c r="C82" s="178"/>
      <c r="D82" s="178"/>
      <c r="E82" s="178"/>
      <c r="F82" s="179"/>
      <c r="G82" s="179"/>
      <c r="H82" s="206"/>
      <c r="I82" s="179"/>
      <c r="J82" s="179"/>
      <c r="K82" s="179"/>
      <c r="L82" s="202">
        <v>0</v>
      </c>
      <c r="M82" s="200">
        <v>0</v>
      </c>
      <c r="N82" s="24">
        <f t="shared" si="14"/>
        <v>0</v>
      </c>
      <c r="O82" s="196">
        <f>IFERROR(IF(($N$4-VLOOKUP(REGISTRO_MAESTRO_m3!X82,DISTRIBUCION_CONTENEDORES!$A$3:$D$530,2) ) &lt; 0,0,($N$4-VLOOKUP(X82,DISTRIBUCION_CONTENEDORES!$A$3:$D$530,2) ) * (M82/VLOOKUP(X82,DISTRIBUCION_CONTENEDORES!$A$3:$D$530,2))),0) *$N$5</f>
        <v>0</v>
      </c>
      <c r="P82" s="194">
        <f t="shared" si="19"/>
        <v>0</v>
      </c>
      <c r="Q82" s="190">
        <f t="shared" si="20"/>
        <v>0</v>
      </c>
      <c r="R82" s="188">
        <f t="shared" si="15"/>
        <v>0</v>
      </c>
      <c r="S82" s="213">
        <v>0</v>
      </c>
      <c r="T82" s="191">
        <f t="shared" si="16"/>
        <v>0</v>
      </c>
      <c r="U82" s="187">
        <f t="shared" si="21"/>
        <v>0</v>
      </c>
      <c r="V82" s="203">
        <f t="shared" si="17"/>
        <v>0</v>
      </c>
      <c r="W82" s="56">
        <f t="shared" si="22"/>
        <v>0</v>
      </c>
      <c r="X82" s="207">
        <v>0</v>
      </c>
      <c r="Y82" s="189">
        <v>0</v>
      </c>
      <c r="Z82" s="189">
        <f t="shared" si="18"/>
        <v>0</v>
      </c>
    </row>
    <row r="83" spans="1:26" x14ac:dyDescent="0.35">
      <c r="A83" s="176">
        <v>115</v>
      </c>
      <c r="B83" s="177"/>
      <c r="C83" s="178"/>
      <c r="D83" s="178"/>
      <c r="E83" s="178"/>
      <c r="F83" s="179"/>
      <c r="G83" s="179"/>
      <c r="H83" s="206"/>
      <c r="I83" s="179"/>
      <c r="J83" s="179"/>
      <c r="K83" s="179"/>
      <c r="L83" s="202">
        <v>0</v>
      </c>
      <c r="M83" s="200">
        <v>0</v>
      </c>
      <c r="N83" s="24">
        <f t="shared" si="14"/>
        <v>0</v>
      </c>
      <c r="O83" s="196">
        <f>IFERROR(IF(($N$4-VLOOKUP(REGISTRO_MAESTRO_m3!X83,DISTRIBUCION_CONTENEDORES!$A$3:$D$530,2) ) &lt; 0,0,($N$4-VLOOKUP(X83,DISTRIBUCION_CONTENEDORES!$A$3:$D$530,2) ) * (M83/VLOOKUP(X83,DISTRIBUCION_CONTENEDORES!$A$3:$D$530,2))),0) *$N$5</f>
        <v>0</v>
      </c>
      <c r="P83" s="194">
        <f t="shared" si="19"/>
        <v>0</v>
      </c>
      <c r="Q83" s="190">
        <f t="shared" si="20"/>
        <v>0</v>
      </c>
      <c r="R83" s="188">
        <f t="shared" si="15"/>
        <v>0</v>
      </c>
      <c r="S83" s="213">
        <v>0</v>
      </c>
      <c r="T83" s="191">
        <f t="shared" si="16"/>
        <v>0</v>
      </c>
      <c r="U83" s="187">
        <f t="shared" si="21"/>
        <v>0</v>
      </c>
      <c r="V83" s="203">
        <f t="shared" si="17"/>
        <v>0</v>
      </c>
      <c r="W83" s="56">
        <f t="shared" si="22"/>
        <v>0</v>
      </c>
      <c r="X83" s="207">
        <v>0</v>
      </c>
      <c r="Y83" s="189">
        <v>0</v>
      </c>
      <c r="Z83" s="189">
        <f t="shared" si="18"/>
        <v>0</v>
      </c>
    </row>
    <row r="84" spans="1:26" x14ac:dyDescent="0.35">
      <c r="A84" s="176">
        <v>116</v>
      </c>
      <c r="B84" s="177"/>
      <c r="C84" s="178"/>
      <c r="D84" s="178"/>
      <c r="E84" s="178"/>
      <c r="F84" s="179"/>
      <c r="G84" s="179"/>
      <c r="H84" s="206"/>
      <c r="I84" s="179"/>
      <c r="J84" s="179"/>
      <c r="K84" s="179"/>
      <c r="L84" s="202">
        <v>0</v>
      </c>
      <c r="M84" s="200">
        <v>0</v>
      </c>
      <c r="N84" s="24">
        <f t="shared" si="14"/>
        <v>0</v>
      </c>
      <c r="O84" s="196">
        <f>IFERROR(IF(($N$4-VLOOKUP(REGISTRO_MAESTRO_m3!X84,DISTRIBUCION_CONTENEDORES!$A$3:$D$530,2) ) &lt; 0,0,($N$4-VLOOKUP(X84,DISTRIBUCION_CONTENEDORES!$A$3:$D$530,2) ) * (M84/VLOOKUP(X84,DISTRIBUCION_CONTENEDORES!$A$3:$D$530,2))),0) *$N$5</f>
        <v>0</v>
      </c>
      <c r="P84" s="194">
        <f t="shared" si="19"/>
        <v>0</v>
      </c>
      <c r="Q84" s="190">
        <f t="shared" si="20"/>
        <v>0</v>
      </c>
      <c r="R84" s="188">
        <f t="shared" si="15"/>
        <v>0</v>
      </c>
      <c r="S84" s="213">
        <v>0</v>
      </c>
      <c r="T84" s="191">
        <f t="shared" si="16"/>
        <v>0</v>
      </c>
      <c r="U84" s="187">
        <f t="shared" si="21"/>
        <v>0</v>
      </c>
      <c r="V84" s="203">
        <f t="shared" si="17"/>
        <v>0</v>
      </c>
      <c r="W84" s="56">
        <f t="shared" si="22"/>
        <v>0</v>
      </c>
      <c r="X84" s="207">
        <v>0</v>
      </c>
      <c r="Y84" s="189">
        <v>0</v>
      </c>
      <c r="Z84" s="189">
        <f t="shared" si="18"/>
        <v>0</v>
      </c>
    </row>
    <row r="85" spans="1:26" x14ac:dyDescent="0.35">
      <c r="A85" s="176">
        <v>117</v>
      </c>
      <c r="B85" s="177"/>
      <c r="C85" s="178"/>
      <c r="D85" s="178"/>
      <c r="E85" s="178"/>
      <c r="F85" s="179"/>
      <c r="G85" s="179"/>
      <c r="H85" s="206"/>
      <c r="I85" s="179"/>
      <c r="J85" s="179"/>
      <c r="K85" s="179"/>
      <c r="L85" s="202">
        <v>0</v>
      </c>
      <c r="M85" s="200">
        <v>0</v>
      </c>
      <c r="N85" s="24">
        <f t="shared" si="14"/>
        <v>0</v>
      </c>
      <c r="O85" s="196">
        <f>IFERROR(IF(($N$4-VLOOKUP(REGISTRO_MAESTRO_m3!X85,DISTRIBUCION_CONTENEDORES!$A$3:$D$530,2) ) &lt; 0,0,($N$4-VLOOKUP(X85,DISTRIBUCION_CONTENEDORES!$A$3:$D$530,2) ) * (M85/VLOOKUP(X85,DISTRIBUCION_CONTENEDORES!$A$3:$D$530,2))),0) *$N$5</f>
        <v>0</v>
      </c>
      <c r="P85" s="194">
        <f t="shared" si="19"/>
        <v>0</v>
      </c>
      <c r="Q85" s="190">
        <f t="shared" si="20"/>
        <v>0</v>
      </c>
      <c r="R85" s="188">
        <f t="shared" si="15"/>
        <v>0</v>
      </c>
      <c r="S85" s="213">
        <v>0</v>
      </c>
      <c r="T85" s="191">
        <f t="shared" si="16"/>
        <v>0</v>
      </c>
      <c r="U85" s="187">
        <f t="shared" si="21"/>
        <v>0</v>
      </c>
      <c r="V85" s="203">
        <f t="shared" si="17"/>
        <v>0</v>
      </c>
      <c r="W85" s="56">
        <f t="shared" si="22"/>
        <v>0</v>
      </c>
      <c r="X85" s="207">
        <v>0</v>
      </c>
      <c r="Y85" s="189">
        <v>0</v>
      </c>
      <c r="Z85" s="189">
        <f t="shared" si="18"/>
        <v>0</v>
      </c>
    </row>
    <row r="86" spans="1:26" x14ac:dyDescent="0.35">
      <c r="A86" s="176">
        <v>118</v>
      </c>
      <c r="B86" s="177"/>
      <c r="C86" s="178"/>
      <c r="D86" s="178"/>
      <c r="E86" s="178"/>
      <c r="F86" s="179"/>
      <c r="G86" s="179"/>
      <c r="H86" s="206"/>
      <c r="I86" s="179"/>
      <c r="J86" s="179"/>
      <c r="K86" s="179"/>
      <c r="L86" s="202">
        <v>0</v>
      </c>
      <c r="M86" s="200">
        <v>0</v>
      </c>
      <c r="N86" s="24">
        <f t="shared" si="14"/>
        <v>0</v>
      </c>
      <c r="O86" s="196">
        <f>IFERROR(IF(($N$4-VLOOKUP(REGISTRO_MAESTRO_m3!X86,DISTRIBUCION_CONTENEDORES!$A$3:$D$530,2) ) &lt; 0,0,($N$4-VLOOKUP(X86,DISTRIBUCION_CONTENEDORES!$A$3:$D$530,2) ) * (M86/VLOOKUP(X86,DISTRIBUCION_CONTENEDORES!$A$3:$D$530,2))),0) *$N$5</f>
        <v>0</v>
      </c>
      <c r="P86" s="194">
        <f t="shared" si="19"/>
        <v>0</v>
      </c>
      <c r="Q86" s="190">
        <f t="shared" si="20"/>
        <v>0</v>
      </c>
      <c r="R86" s="188">
        <f t="shared" si="15"/>
        <v>0</v>
      </c>
      <c r="S86" s="213">
        <v>0</v>
      </c>
      <c r="T86" s="191">
        <f t="shared" si="16"/>
        <v>0</v>
      </c>
      <c r="U86" s="187">
        <f t="shared" si="21"/>
        <v>0</v>
      </c>
      <c r="V86" s="203">
        <f t="shared" si="17"/>
        <v>0</v>
      </c>
      <c r="W86" s="56">
        <f t="shared" si="22"/>
        <v>0</v>
      </c>
      <c r="X86" s="207">
        <v>0</v>
      </c>
      <c r="Y86" s="189">
        <v>0</v>
      </c>
      <c r="Z86" s="189">
        <f t="shared" si="18"/>
        <v>0</v>
      </c>
    </row>
    <row r="87" spans="1:26" x14ac:dyDescent="0.35">
      <c r="A87" s="176">
        <v>119</v>
      </c>
      <c r="B87" s="177"/>
      <c r="C87" s="178"/>
      <c r="D87" s="178"/>
      <c r="E87" s="178"/>
      <c r="F87" s="179"/>
      <c r="G87" s="179"/>
      <c r="H87" s="206"/>
      <c r="I87" s="179"/>
      <c r="J87" s="179"/>
      <c r="K87" s="179"/>
      <c r="L87" s="202">
        <v>0</v>
      </c>
      <c r="M87" s="200">
        <v>0</v>
      </c>
      <c r="N87" s="24">
        <f t="shared" si="14"/>
        <v>0</v>
      </c>
      <c r="O87" s="196">
        <f>IFERROR(IF(($N$4-VLOOKUP(REGISTRO_MAESTRO_m3!X87,DISTRIBUCION_CONTENEDORES!$A$3:$D$530,2) ) &lt; 0,0,($N$4-VLOOKUP(X87,DISTRIBUCION_CONTENEDORES!$A$3:$D$530,2) ) * (M87/VLOOKUP(X87,DISTRIBUCION_CONTENEDORES!$A$3:$D$530,2))),0) *$N$5</f>
        <v>0</v>
      </c>
      <c r="P87" s="194">
        <f t="shared" si="19"/>
        <v>0</v>
      </c>
      <c r="Q87" s="190">
        <f t="shared" si="20"/>
        <v>0</v>
      </c>
      <c r="R87" s="188">
        <f t="shared" si="15"/>
        <v>0</v>
      </c>
      <c r="S87" s="213">
        <v>0</v>
      </c>
      <c r="T87" s="191">
        <f t="shared" si="16"/>
        <v>0</v>
      </c>
      <c r="U87" s="187">
        <f t="shared" si="21"/>
        <v>0</v>
      </c>
      <c r="V87" s="203">
        <f t="shared" si="17"/>
        <v>0</v>
      </c>
      <c r="W87" s="56">
        <f t="shared" si="22"/>
        <v>0</v>
      </c>
      <c r="X87" s="207">
        <v>0</v>
      </c>
      <c r="Y87" s="189">
        <v>0</v>
      </c>
      <c r="Z87" s="189">
        <f t="shared" si="18"/>
        <v>0</v>
      </c>
    </row>
    <row r="88" spans="1:26" x14ac:dyDescent="0.35">
      <c r="A88" s="176">
        <v>120</v>
      </c>
      <c r="B88" s="177"/>
      <c r="C88" s="178"/>
      <c r="D88" s="178"/>
      <c r="E88" s="178"/>
      <c r="F88" s="179"/>
      <c r="G88" s="179"/>
      <c r="H88" s="206"/>
      <c r="I88" s="179"/>
      <c r="J88" s="179"/>
      <c r="K88" s="179"/>
      <c r="L88" s="202">
        <v>0</v>
      </c>
      <c r="M88" s="200">
        <v>0</v>
      </c>
      <c r="N88" s="24">
        <f t="shared" si="14"/>
        <v>0</v>
      </c>
      <c r="O88" s="196">
        <f>IFERROR(IF(($N$4-VLOOKUP(REGISTRO_MAESTRO_m3!X88,DISTRIBUCION_CONTENEDORES!$A$3:$D$530,2) ) &lt; 0,0,($N$4-VLOOKUP(X88,DISTRIBUCION_CONTENEDORES!$A$3:$D$530,2) ) * (M88/VLOOKUP(X88,DISTRIBUCION_CONTENEDORES!$A$3:$D$530,2))),0) *$N$5</f>
        <v>0</v>
      </c>
      <c r="P88" s="194">
        <f t="shared" si="19"/>
        <v>0</v>
      </c>
      <c r="Q88" s="190">
        <f t="shared" si="20"/>
        <v>0</v>
      </c>
      <c r="R88" s="188">
        <f t="shared" si="15"/>
        <v>0</v>
      </c>
      <c r="S88" s="213">
        <v>0</v>
      </c>
      <c r="T88" s="191">
        <f t="shared" si="16"/>
        <v>0</v>
      </c>
      <c r="U88" s="187">
        <f t="shared" si="21"/>
        <v>0</v>
      </c>
      <c r="V88" s="203">
        <f t="shared" si="17"/>
        <v>0</v>
      </c>
      <c r="W88" s="56">
        <f t="shared" si="22"/>
        <v>0</v>
      </c>
      <c r="X88" s="207">
        <v>0</v>
      </c>
      <c r="Y88" s="189">
        <v>0</v>
      </c>
      <c r="Z88" s="189">
        <f t="shared" si="18"/>
        <v>0</v>
      </c>
    </row>
    <row r="89" spans="1:26" x14ac:dyDescent="0.35">
      <c r="A89" s="176">
        <v>121</v>
      </c>
      <c r="B89" s="177"/>
      <c r="C89" s="178"/>
      <c r="D89" s="178"/>
      <c r="E89" s="178"/>
      <c r="F89" s="179"/>
      <c r="G89" s="179"/>
      <c r="H89" s="206"/>
      <c r="I89" s="179"/>
      <c r="J89" s="179"/>
      <c r="K89" s="179"/>
      <c r="L89" s="202">
        <v>0</v>
      </c>
      <c r="M89" s="200">
        <v>0</v>
      </c>
      <c r="N89" s="24">
        <f t="shared" si="14"/>
        <v>0</v>
      </c>
      <c r="O89" s="196">
        <f>IFERROR(IF(($N$4-VLOOKUP(REGISTRO_MAESTRO_m3!X89,DISTRIBUCION_CONTENEDORES!$A$3:$D$530,2) ) &lt; 0,0,($N$4-VLOOKUP(X89,DISTRIBUCION_CONTENEDORES!$A$3:$D$530,2) ) * (M89/VLOOKUP(X89,DISTRIBUCION_CONTENEDORES!$A$3:$D$530,2))),0) *$N$5</f>
        <v>0</v>
      </c>
      <c r="P89" s="194">
        <f t="shared" si="19"/>
        <v>0</v>
      </c>
      <c r="Q89" s="190">
        <f t="shared" si="20"/>
        <v>0</v>
      </c>
      <c r="R89" s="188">
        <f t="shared" si="15"/>
        <v>0</v>
      </c>
      <c r="S89" s="213">
        <v>0</v>
      </c>
      <c r="T89" s="191">
        <f t="shared" si="16"/>
        <v>0</v>
      </c>
      <c r="U89" s="187">
        <f t="shared" si="21"/>
        <v>0</v>
      </c>
      <c r="V89" s="203">
        <f t="shared" si="17"/>
        <v>0</v>
      </c>
      <c r="W89" s="56">
        <f t="shared" si="22"/>
        <v>0</v>
      </c>
      <c r="X89" s="207">
        <v>0</v>
      </c>
      <c r="Y89" s="189">
        <v>0</v>
      </c>
      <c r="Z89" s="189">
        <f t="shared" si="18"/>
        <v>0</v>
      </c>
    </row>
    <row r="90" spans="1:26" x14ac:dyDescent="0.35">
      <c r="A90" s="176">
        <v>122</v>
      </c>
      <c r="B90" s="177"/>
      <c r="C90" s="178"/>
      <c r="D90" s="178"/>
      <c r="E90" s="178"/>
      <c r="F90" s="179"/>
      <c r="G90" s="179"/>
      <c r="H90" s="206"/>
      <c r="I90" s="179"/>
      <c r="J90" s="179"/>
      <c r="K90" s="179"/>
      <c r="L90" s="202">
        <v>0</v>
      </c>
      <c r="M90" s="200">
        <v>0</v>
      </c>
      <c r="N90" s="24">
        <f t="shared" si="14"/>
        <v>0</v>
      </c>
      <c r="O90" s="196">
        <f>IFERROR(IF(($N$4-VLOOKUP(REGISTRO_MAESTRO_m3!X90,DISTRIBUCION_CONTENEDORES!$A$3:$D$530,2) ) &lt; 0,0,($N$4-VLOOKUP(X90,DISTRIBUCION_CONTENEDORES!$A$3:$D$530,2) ) * (M90/VLOOKUP(X90,DISTRIBUCION_CONTENEDORES!$A$3:$D$530,2))),0) *$N$5</f>
        <v>0</v>
      </c>
      <c r="P90" s="194">
        <f t="shared" si="19"/>
        <v>0</v>
      </c>
      <c r="Q90" s="190">
        <f t="shared" si="20"/>
        <v>0</v>
      </c>
      <c r="R90" s="188">
        <f t="shared" si="15"/>
        <v>0</v>
      </c>
      <c r="S90" s="213">
        <v>0</v>
      </c>
      <c r="T90" s="191">
        <f t="shared" si="16"/>
        <v>0</v>
      </c>
      <c r="U90" s="187">
        <f t="shared" si="21"/>
        <v>0</v>
      </c>
      <c r="V90" s="203">
        <f t="shared" si="17"/>
        <v>0</v>
      </c>
      <c r="W90" s="56">
        <f t="shared" si="22"/>
        <v>0</v>
      </c>
      <c r="X90" s="207">
        <v>0</v>
      </c>
      <c r="Y90" s="189">
        <v>0</v>
      </c>
      <c r="Z90" s="189">
        <f t="shared" si="18"/>
        <v>0</v>
      </c>
    </row>
    <row r="91" spans="1:26" x14ac:dyDescent="0.35">
      <c r="A91" s="176">
        <v>123</v>
      </c>
      <c r="B91" s="177"/>
      <c r="C91" s="178"/>
      <c r="D91" s="178"/>
      <c r="E91" s="178"/>
      <c r="F91" s="179"/>
      <c r="G91" s="179"/>
      <c r="H91" s="206"/>
      <c r="I91" s="179"/>
      <c r="J91" s="179"/>
      <c r="K91" s="179"/>
      <c r="L91" s="202">
        <v>0</v>
      </c>
      <c r="M91" s="200">
        <v>0</v>
      </c>
      <c r="N91" s="24">
        <f t="shared" si="14"/>
        <v>0</v>
      </c>
      <c r="O91" s="196">
        <f>IFERROR(IF(($N$4-VLOOKUP(REGISTRO_MAESTRO_m3!X91,DISTRIBUCION_CONTENEDORES!$A$3:$D$530,2) ) &lt; 0,0,($N$4-VLOOKUP(X91,DISTRIBUCION_CONTENEDORES!$A$3:$D$530,2) ) * (M91/VLOOKUP(X91,DISTRIBUCION_CONTENEDORES!$A$3:$D$530,2))),0) *$N$5</f>
        <v>0</v>
      </c>
      <c r="P91" s="194">
        <f t="shared" si="19"/>
        <v>0</v>
      </c>
      <c r="Q91" s="190">
        <f t="shared" si="20"/>
        <v>0</v>
      </c>
      <c r="R91" s="188">
        <f t="shared" si="15"/>
        <v>0</v>
      </c>
      <c r="S91" s="213">
        <v>0</v>
      </c>
      <c r="T91" s="191">
        <f t="shared" si="16"/>
        <v>0</v>
      </c>
      <c r="U91" s="187">
        <f t="shared" si="21"/>
        <v>0</v>
      </c>
      <c r="V91" s="203">
        <f t="shared" si="17"/>
        <v>0</v>
      </c>
      <c r="W91" s="56">
        <f t="shared" si="22"/>
        <v>0</v>
      </c>
      <c r="X91" s="207">
        <v>0</v>
      </c>
      <c r="Y91" s="189">
        <v>0</v>
      </c>
      <c r="Z91" s="189">
        <f t="shared" si="18"/>
        <v>0</v>
      </c>
    </row>
    <row r="92" spans="1:26" x14ac:dyDescent="0.35">
      <c r="A92" s="176">
        <v>124</v>
      </c>
      <c r="B92" s="177"/>
      <c r="C92" s="178"/>
      <c r="D92" s="178"/>
      <c r="E92" s="178"/>
      <c r="F92" s="179"/>
      <c r="G92" s="179"/>
      <c r="H92" s="206"/>
      <c r="I92" s="179"/>
      <c r="J92" s="179"/>
      <c r="K92" s="179"/>
      <c r="L92" s="202">
        <v>0</v>
      </c>
      <c r="M92" s="200">
        <v>0</v>
      </c>
      <c r="N92" s="24">
        <f t="shared" si="14"/>
        <v>0</v>
      </c>
      <c r="O92" s="196">
        <f>IFERROR(IF(($N$4-VLOOKUP(REGISTRO_MAESTRO_m3!X92,DISTRIBUCION_CONTENEDORES!$A$3:$D$530,2) ) &lt; 0,0,($N$4-VLOOKUP(X92,DISTRIBUCION_CONTENEDORES!$A$3:$D$530,2) ) * (M92/VLOOKUP(X92,DISTRIBUCION_CONTENEDORES!$A$3:$D$530,2))),0) *$N$5</f>
        <v>0</v>
      </c>
      <c r="P92" s="194">
        <f t="shared" si="19"/>
        <v>0</v>
      </c>
      <c r="Q92" s="190">
        <f t="shared" si="20"/>
        <v>0</v>
      </c>
      <c r="R92" s="188">
        <f t="shared" si="15"/>
        <v>0</v>
      </c>
      <c r="S92" s="213">
        <v>0</v>
      </c>
      <c r="T92" s="191">
        <f t="shared" si="16"/>
        <v>0</v>
      </c>
      <c r="U92" s="187">
        <f t="shared" si="21"/>
        <v>0</v>
      </c>
      <c r="V92" s="203">
        <f t="shared" si="17"/>
        <v>0</v>
      </c>
      <c r="W92" s="56">
        <f t="shared" si="22"/>
        <v>0</v>
      </c>
      <c r="X92" s="207">
        <v>0</v>
      </c>
      <c r="Y92" s="189">
        <v>0</v>
      </c>
      <c r="Z92" s="189">
        <f t="shared" si="18"/>
        <v>0</v>
      </c>
    </row>
    <row r="93" spans="1:26" x14ac:dyDescent="0.35">
      <c r="A93" s="176">
        <v>125</v>
      </c>
      <c r="B93" s="177"/>
      <c r="C93" s="178"/>
      <c r="D93" s="178"/>
      <c r="E93" s="178"/>
      <c r="F93" s="179"/>
      <c r="G93" s="179"/>
      <c r="H93" s="206"/>
      <c r="I93" s="179"/>
      <c r="J93" s="179"/>
      <c r="K93" s="179"/>
      <c r="L93" s="202">
        <v>0</v>
      </c>
      <c r="M93" s="200">
        <v>0</v>
      </c>
      <c r="N93" s="24">
        <f t="shared" si="14"/>
        <v>0</v>
      </c>
      <c r="O93" s="196">
        <f>IFERROR(IF(($N$4-VLOOKUP(REGISTRO_MAESTRO_m3!X93,DISTRIBUCION_CONTENEDORES!$A$3:$D$530,2) ) &lt; 0,0,($N$4-VLOOKUP(X93,DISTRIBUCION_CONTENEDORES!$A$3:$D$530,2) ) * (M93/VLOOKUP(X93,DISTRIBUCION_CONTENEDORES!$A$3:$D$530,2))),0) *$N$5</f>
        <v>0</v>
      </c>
      <c r="P93" s="194">
        <f t="shared" si="19"/>
        <v>0</v>
      </c>
      <c r="Q93" s="190">
        <f t="shared" si="20"/>
        <v>0</v>
      </c>
      <c r="R93" s="188">
        <f t="shared" si="15"/>
        <v>0</v>
      </c>
      <c r="S93" s="213">
        <v>0</v>
      </c>
      <c r="T93" s="191">
        <f t="shared" si="16"/>
        <v>0</v>
      </c>
      <c r="U93" s="187">
        <f t="shared" si="21"/>
        <v>0</v>
      </c>
      <c r="V93" s="203">
        <f t="shared" si="17"/>
        <v>0</v>
      </c>
      <c r="W93" s="56">
        <f t="shared" si="22"/>
        <v>0</v>
      </c>
      <c r="X93" s="207">
        <v>0</v>
      </c>
      <c r="Y93" s="189">
        <v>0</v>
      </c>
      <c r="Z93" s="189">
        <f t="shared" si="18"/>
        <v>0</v>
      </c>
    </row>
    <row r="94" spans="1:26" x14ac:dyDescent="0.35">
      <c r="A94" s="176">
        <v>126</v>
      </c>
      <c r="B94" s="177"/>
      <c r="C94" s="178"/>
      <c r="D94" s="178"/>
      <c r="E94" s="178"/>
      <c r="F94" s="179"/>
      <c r="G94" s="179"/>
      <c r="H94" s="206"/>
      <c r="I94" s="179"/>
      <c r="J94" s="179"/>
      <c r="K94" s="179"/>
      <c r="L94" s="202">
        <v>0</v>
      </c>
      <c r="M94" s="200">
        <v>0</v>
      </c>
      <c r="N94" s="24">
        <f t="shared" si="14"/>
        <v>0</v>
      </c>
      <c r="O94" s="196">
        <f>IFERROR(IF(($N$4-VLOOKUP(REGISTRO_MAESTRO_m3!X94,DISTRIBUCION_CONTENEDORES!$A$3:$D$530,2) ) &lt; 0,0,($N$4-VLOOKUP(X94,DISTRIBUCION_CONTENEDORES!$A$3:$D$530,2) ) * (M94/VLOOKUP(X94,DISTRIBUCION_CONTENEDORES!$A$3:$D$530,2))),0) *$N$5</f>
        <v>0</v>
      </c>
      <c r="P94" s="194">
        <f t="shared" si="19"/>
        <v>0</v>
      </c>
      <c r="Q94" s="190">
        <f t="shared" si="20"/>
        <v>0</v>
      </c>
      <c r="R94" s="188">
        <f t="shared" si="15"/>
        <v>0</v>
      </c>
      <c r="S94" s="213">
        <v>0</v>
      </c>
      <c r="T94" s="191">
        <f t="shared" si="16"/>
        <v>0</v>
      </c>
      <c r="U94" s="187">
        <f t="shared" si="21"/>
        <v>0</v>
      </c>
      <c r="V94" s="203">
        <f t="shared" si="17"/>
        <v>0</v>
      </c>
      <c r="W94" s="56">
        <f t="shared" si="22"/>
        <v>0</v>
      </c>
      <c r="X94" s="207">
        <v>0</v>
      </c>
      <c r="Y94" s="189">
        <v>0</v>
      </c>
      <c r="Z94" s="189">
        <f t="shared" si="18"/>
        <v>0</v>
      </c>
    </row>
    <row r="95" spans="1:26" x14ac:dyDescent="0.35">
      <c r="A95" s="176">
        <v>127</v>
      </c>
      <c r="B95" s="177"/>
      <c r="C95" s="178"/>
      <c r="D95" s="178"/>
      <c r="E95" s="178"/>
      <c r="F95" s="179"/>
      <c r="G95" s="179"/>
      <c r="H95" s="206"/>
      <c r="I95" s="179"/>
      <c r="J95" s="179"/>
      <c r="K95" s="179"/>
      <c r="L95" s="202">
        <v>0</v>
      </c>
      <c r="M95" s="200">
        <v>0</v>
      </c>
      <c r="N95" s="24">
        <f t="shared" si="14"/>
        <v>0</v>
      </c>
      <c r="O95" s="196">
        <f>IFERROR(IF(($N$4-VLOOKUP(REGISTRO_MAESTRO_m3!X95,DISTRIBUCION_CONTENEDORES!$A$3:$D$530,2) ) &lt; 0,0,($N$4-VLOOKUP(X95,DISTRIBUCION_CONTENEDORES!$A$3:$D$530,2) ) * (M95/VLOOKUP(X95,DISTRIBUCION_CONTENEDORES!$A$3:$D$530,2))),0) *$N$5</f>
        <v>0</v>
      </c>
      <c r="P95" s="194">
        <f t="shared" si="19"/>
        <v>0</v>
      </c>
      <c r="Q95" s="190">
        <f t="shared" si="20"/>
        <v>0</v>
      </c>
      <c r="R95" s="188">
        <f t="shared" si="15"/>
        <v>0</v>
      </c>
      <c r="S95" s="213">
        <v>0</v>
      </c>
      <c r="T95" s="191">
        <f t="shared" si="16"/>
        <v>0</v>
      </c>
      <c r="U95" s="187">
        <f t="shared" si="21"/>
        <v>0</v>
      </c>
      <c r="V95" s="203">
        <f t="shared" si="17"/>
        <v>0</v>
      </c>
      <c r="W95" s="56">
        <f t="shared" si="22"/>
        <v>0</v>
      </c>
      <c r="X95" s="207">
        <v>0</v>
      </c>
      <c r="Y95" s="189">
        <v>0</v>
      </c>
      <c r="Z95" s="189">
        <f t="shared" si="18"/>
        <v>0</v>
      </c>
    </row>
    <row r="96" spans="1:26" x14ac:dyDescent="0.35">
      <c r="A96" s="176">
        <v>128</v>
      </c>
      <c r="B96" s="177"/>
      <c r="C96" s="178"/>
      <c r="D96" s="178"/>
      <c r="E96" s="178"/>
      <c r="F96" s="179"/>
      <c r="G96" s="179"/>
      <c r="H96" s="206"/>
      <c r="I96" s="179"/>
      <c r="J96" s="179"/>
      <c r="K96" s="179"/>
      <c r="L96" s="202">
        <v>0</v>
      </c>
      <c r="M96" s="200">
        <v>0</v>
      </c>
      <c r="N96" s="24">
        <f t="shared" si="14"/>
        <v>0</v>
      </c>
      <c r="O96" s="196">
        <f>IFERROR(IF(($N$4-VLOOKUP(REGISTRO_MAESTRO_m3!X96,DISTRIBUCION_CONTENEDORES!$A$3:$D$530,2) ) &lt; 0,0,($N$4-VLOOKUP(X96,DISTRIBUCION_CONTENEDORES!$A$3:$D$530,2) ) * (M96/VLOOKUP(X96,DISTRIBUCION_CONTENEDORES!$A$3:$D$530,2))),0) *$N$5</f>
        <v>0</v>
      </c>
      <c r="P96" s="194">
        <f t="shared" si="19"/>
        <v>0</v>
      </c>
      <c r="Q96" s="190">
        <f t="shared" si="20"/>
        <v>0</v>
      </c>
      <c r="R96" s="188">
        <f t="shared" si="15"/>
        <v>0</v>
      </c>
      <c r="S96" s="213">
        <v>0</v>
      </c>
      <c r="T96" s="191">
        <f t="shared" si="16"/>
        <v>0</v>
      </c>
      <c r="U96" s="187">
        <f t="shared" si="21"/>
        <v>0</v>
      </c>
      <c r="V96" s="203">
        <f t="shared" si="17"/>
        <v>0</v>
      </c>
      <c r="W96" s="56">
        <f t="shared" si="22"/>
        <v>0</v>
      </c>
      <c r="X96" s="207">
        <v>0</v>
      </c>
      <c r="Y96" s="189">
        <v>0</v>
      </c>
      <c r="Z96" s="189">
        <f t="shared" si="18"/>
        <v>0</v>
      </c>
    </row>
    <row r="97" spans="1:26" x14ac:dyDescent="0.35">
      <c r="A97" s="176">
        <v>129</v>
      </c>
      <c r="B97" s="177"/>
      <c r="C97" s="178"/>
      <c r="D97" s="178"/>
      <c r="E97" s="178"/>
      <c r="F97" s="179"/>
      <c r="G97" s="179"/>
      <c r="H97" s="206"/>
      <c r="I97" s="179"/>
      <c r="J97" s="179"/>
      <c r="K97" s="179"/>
      <c r="L97" s="202">
        <v>0</v>
      </c>
      <c r="M97" s="200">
        <v>0</v>
      </c>
      <c r="N97" s="24">
        <f t="shared" si="14"/>
        <v>0</v>
      </c>
      <c r="O97" s="196">
        <f>IFERROR(IF(($N$4-VLOOKUP(REGISTRO_MAESTRO_m3!X97,DISTRIBUCION_CONTENEDORES!$A$3:$D$530,2) ) &lt; 0,0,($N$4-VLOOKUP(X97,DISTRIBUCION_CONTENEDORES!$A$3:$D$530,2) ) * (M97/VLOOKUP(X97,DISTRIBUCION_CONTENEDORES!$A$3:$D$530,2))),0) *$N$5</f>
        <v>0</v>
      </c>
      <c r="P97" s="194">
        <f t="shared" si="19"/>
        <v>0</v>
      </c>
      <c r="Q97" s="190">
        <f t="shared" si="20"/>
        <v>0</v>
      </c>
      <c r="R97" s="188">
        <f t="shared" si="15"/>
        <v>0</v>
      </c>
      <c r="S97" s="213">
        <v>0</v>
      </c>
      <c r="T97" s="191">
        <f t="shared" si="16"/>
        <v>0</v>
      </c>
      <c r="U97" s="187">
        <f t="shared" si="21"/>
        <v>0</v>
      </c>
      <c r="V97" s="203">
        <f t="shared" si="17"/>
        <v>0</v>
      </c>
      <c r="W97" s="56">
        <f t="shared" si="22"/>
        <v>0</v>
      </c>
      <c r="X97" s="207">
        <v>0</v>
      </c>
      <c r="Y97" s="189">
        <v>0</v>
      </c>
      <c r="Z97" s="189">
        <f t="shared" si="18"/>
        <v>0</v>
      </c>
    </row>
    <row r="98" spans="1:26" x14ac:dyDescent="0.35">
      <c r="A98" s="176">
        <v>130</v>
      </c>
      <c r="B98" s="177"/>
      <c r="C98" s="178"/>
      <c r="D98" s="178"/>
      <c r="E98" s="178"/>
      <c r="F98" s="179"/>
      <c r="G98" s="179"/>
      <c r="H98" s="206"/>
      <c r="I98" s="179"/>
      <c r="J98" s="179"/>
      <c r="K98" s="179"/>
      <c r="L98" s="202">
        <v>0</v>
      </c>
      <c r="M98" s="200">
        <v>0</v>
      </c>
      <c r="N98" s="24">
        <f t="shared" si="14"/>
        <v>0</v>
      </c>
      <c r="O98" s="196">
        <f>IFERROR(IF(($N$4-VLOOKUP(REGISTRO_MAESTRO_m3!X98,DISTRIBUCION_CONTENEDORES!$A$3:$D$530,2) ) &lt; 0,0,($N$4-VLOOKUP(X98,DISTRIBUCION_CONTENEDORES!$A$3:$D$530,2) ) * (M98/VLOOKUP(X98,DISTRIBUCION_CONTENEDORES!$A$3:$D$530,2))),0) *$N$5</f>
        <v>0</v>
      </c>
      <c r="P98" s="194">
        <f t="shared" si="19"/>
        <v>0</v>
      </c>
      <c r="Q98" s="190">
        <f t="shared" si="20"/>
        <v>0</v>
      </c>
      <c r="R98" s="188">
        <f t="shared" si="15"/>
        <v>0</v>
      </c>
      <c r="S98" s="213">
        <v>0</v>
      </c>
      <c r="T98" s="191">
        <f t="shared" si="16"/>
        <v>0</v>
      </c>
      <c r="U98" s="187">
        <f t="shared" si="21"/>
        <v>0</v>
      </c>
      <c r="V98" s="203">
        <f t="shared" si="17"/>
        <v>0</v>
      </c>
      <c r="W98" s="56">
        <f t="shared" si="22"/>
        <v>0</v>
      </c>
      <c r="X98" s="207">
        <v>0</v>
      </c>
      <c r="Y98" s="189">
        <v>0</v>
      </c>
      <c r="Z98" s="189">
        <f t="shared" si="18"/>
        <v>0</v>
      </c>
    </row>
    <row r="99" spans="1:26" x14ac:dyDescent="0.35">
      <c r="A99" s="176">
        <v>131</v>
      </c>
      <c r="B99" s="177"/>
      <c r="C99" s="178"/>
      <c r="D99" s="178"/>
      <c r="E99" s="178"/>
      <c r="F99" s="179"/>
      <c r="G99" s="179"/>
      <c r="H99" s="206"/>
      <c r="I99" s="179"/>
      <c r="J99" s="179"/>
      <c r="K99" s="179"/>
      <c r="L99" s="202">
        <v>0</v>
      </c>
      <c r="M99" s="200">
        <v>0</v>
      </c>
      <c r="N99" s="24">
        <f t="shared" ref="N99:N162" si="23">PRODUCT(M99,$N$5)</f>
        <v>0</v>
      </c>
      <c r="O99" s="196">
        <f>IFERROR(IF(($N$4-VLOOKUP(REGISTRO_MAESTRO_m3!X99,DISTRIBUCION_CONTENEDORES!$A$3:$D$530,2) ) &lt; 0,0,($N$4-VLOOKUP(X99,DISTRIBUCION_CONTENEDORES!$A$3:$D$530,2) ) * (M99/VLOOKUP(X99,DISTRIBUCION_CONTENEDORES!$A$3:$D$530,2))),0) *$N$5</f>
        <v>0</v>
      </c>
      <c r="P99" s="194">
        <f t="shared" si="19"/>
        <v>0</v>
      </c>
      <c r="Q99" s="190">
        <f t="shared" si="20"/>
        <v>0</v>
      </c>
      <c r="R99" s="188">
        <f t="shared" ref="R99:R162" si="24">IFERROR(S99/$N$5,0)</f>
        <v>0</v>
      </c>
      <c r="S99" s="213">
        <v>0</v>
      </c>
      <c r="T99" s="191">
        <f t="shared" ref="T99:T162" si="25">U99/$N$5</f>
        <v>0</v>
      </c>
      <c r="U99" s="187">
        <f t="shared" si="21"/>
        <v>0</v>
      </c>
      <c r="V99" s="203">
        <f t="shared" ref="V99:V162" si="26">U99/$N$6</f>
        <v>0</v>
      </c>
      <c r="W99" s="56">
        <f t="shared" si="22"/>
        <v>0</v>
      </c>
      <c r="X99" s="207">
        <v>0</v>
      </c>
      <c r="Y99" s="189">
        <v>0</v>
      </c>
      <c r="Z99" s="189">
        <f t="shared" ref="Z99:Z162" si="27">Y99*4.75*668</f>
        <v>0</v>
      </c>
    </row>
    <row r="100" spans="1:26" x14ac:dyDescent="0.35">
      <c r="A100" s="176">
        <v>132</v>
      </c>
      <c r="B100" s="177"/>
      <c r="C100" s="178"/>
      <c r="D100" s="178"/>
      <c r="E100" s="178"/>
      <c r="F100" s="179"/>
      <c r="G100" s="179"/>
      <c r="H100" s="206"/>
      <c r="I100" s="179"/>
      <c r="J100" s="179"/>
      <c r="K100" s="179"/>
      <c r="L100" s="202">
        <v>0</v>
      </c>
      <c r="M100" s="200">
        <v>0</v>
      </c>
      <c r="N100" s="24">
        <f t="shared" si="23"/>
        <v>0</v>
      </c>
      <c r="O100" s="196">
        <f>IFERROR(IF(($N$4-VLOOKUP(REGISTRO_MAESTRO_m3!X100,DISTRIBUCION_CONTENEDORES!$A$3:$D$530,2) ) &lt; 0,0,($N$4-VLOOKUP(X100,DISTRIBUCION_CONTENEDORES!$A$3:$D$530,2) ) * (M100/VLOOKUP(X100,DISTRIBUCION_CONTENEDORES!$A$3:$D$530,2))),0) *$N$5</f>
        <v>0</v>
      </c>
      <c r="P100" s="194">
        <f t="shared" si="19"/>
        <v>0</v>
      </c>
      <c r="Q100" s="190">
        <f t="shared" si="20"/>
        <v>0</v>
      </c>
      <c r="R100" s="188">
        <f t="shared" si="24"/>
        <v>0</v>
      </c>
      <c r="S100" s="213">
        <v>0</v>
      </c>
      <c r="T100" s="191">
        <f t="shared" si="25"/>
        <v>0</v>
      </c>
      <c r="U100" s="187">
        <f t="shared" si="21"/>
        <v>0</v>
      </c>
      <c r="V100" s="203">
        <f t="shared" si="26"/>
        <v>0</v>
      </c>
      <c r="W100" s="56">
        <f t="shared" si="22"/>
        <v>0</v>
      </c>
      <c r="X100" s="207">
        <v>0</v>
      </c>
      <c r="Y100" s="189">
        <v>0</v>
      </c>
      <c r="Z100" s="189">
        <f t="shared" si="27"/>
        <v>0</v>
      </c>
    </row>
    <row r="101" spans="1:26" x14ac:dyDescent="0.35">
      <c r="A101" s="176">
        <v>133</v>
      </c>
      <c r="B101" s="177"/>
      <c r="C101" s="178"/>
      <c r="D101" s="178"/>
      <c r="E101" s="178"/>
      <c r="F101" s="179"/>
      <c r="G101" s="179"/>
      <c r="H101" s="206"/>
      <c r="I101" s="179"/>
      <c r="J101" s="179"/>
      <c r="K101" s="179"/>
      <c r="L101" s="202">
        <v>0</v>
      </c>
      <c r="M101" s="200">
        <v>0</v>
      </c>
      <c r="N101" s="24">
        <f t="shared" si="23"/>
        <v>0</v>
      </c>
      <c r="O101" s="196">
        <f>IFERROR(IF(($N$4-VLOOKUP(REGISTRO_MAESTRO_m3!X101,DISTRIBUCION_CONTENEDORES!$A$3:$D$530,2) ) &lt; 0,0,($N$4-VLOOKUP(X101,DISTRIBUCION_CONTENEDORES!$A$3:$D$530,2) ) * (M101/VLOOKUP(X101,DISTRIBUCION_CONTENEDORES!$A$3:$D$530,2))),0) *$N$5</f>
        <v>0</v>
      </c>
      <c r="P101" s="194">
        <f t="shared" si="19"/>
        <v>0</v>
      </c>
      <c r="Q101" s="190">
        <f t="shared" si="20"/>
        <v>0</v>
      </c>
      <c r="R101" s="188">
        <f t="shared" si="24"/>
        <v>0</v>
      </c>
      <c r="S101" s="213">
        <v>0</v>
      </c>
      <c r="T101" s="191">
        <f t="shared" si="25"/>
        <v>0</v>
      </c>
      <c r="U101" s="187">
        <f t="shared" si="21"/>
        <v>0</v>
      </c>
      <c r="V101" s="203">
        <f t="shared" si="26"/>
        <v>0</v>
      </c>
      <c r="W101" s="56">
        <f t="shared" si="22"/>
        <v>0</v>
      </c>
      <c r="X101" s="207">
        <v>0</v>
      </c>
      <c r="Y101" s="189">
        <v>0</v>
      </c>
      <c r="Z101" s="189">
        <f t="shared" si="27"/>
        <v>0</v>
      </c>
    </row>
    <row r="102" spans="1:26" x14ac:dyDescent="0.35">
      <c r="A102" s="176">
        <v>134</v>
      </c>
      <c r="B102" s="177"/>
      <c r="C102" s="178"/>
      <c r="D102" s="178"/>
      <c r="E102" s="178"/>
      <c r="F102" s="179"/>
      <c r="G102" s="179"/>
      <c r="H102" s="206"/>
      <c r="I102" s="179"/>
      <c r="J102" s="179"/>
      <c r="K102" s="179"/>
      <c r="L102" s="202">
        <v>0</v>
      </c>
      <c r="M102" s="200">
        <v>0</v>
      </c>
      <c r="N102" s="24">
        <f t="shared" si="23"/>
        <v>0</v>
      </c>
      <c r="O102" s="196">
        <f>IFERROR(IF(($N$4-VLOOKUP(REGISTRO_MAESTRO_m3!X102,DISTRIBUCION_CONTENEDORES!$A$3:$D$530,2) ) &lt; 0,0,($N$4-VLOOKUP(X102,DISTRIBUCION_CONTENEDORES!$A$3:$D$530,2) ) * (M102/VLOOKUP(X102,DISTRIBUCION_CONTENEDORES!$A$3:$D$530,2))),0) *$N$5</f>
        <v>0</v>
      </c>
      <c r="P102" s="194">
        <f t="shared" si="19"/>
        <v>0</v>
      </c>
      <c r="Q102" s="190">
        <f t="shared" si="20"/>
        <v>0</v>
      </c>
      <c r="R102" s="188">
        <f t="shared" si="24"/>
        <v>0</v>
      </c>
      <c r="S102" s="213">
        <v>0</v>
      </c>
      <c r="T102" s="191">
        <f t="shared" si="25"/>
        <v>0</v>
      </c>
      <c r="U102" s="187">
        <f t="shared" si="21"/>
        <v>0</v>
      </c>
      <c r="V102" s="203">
        <f t="shared" si="26"/>
        <v>0</v>
      </c>
      <c r="W102" s="56">
        <f t="shared" si="22"/>
        <v>0</v>
      </c>
      <c r="X102" s="207">
        <v>0</v>
      </c>
      <c r="Y102" s="189">
        <v>0</v>
      </c>
      <c r="Z102" s="189">
        <f t="shared" si="27"/>
        <v>0</v>
      </c>
    </row>
    <row r="103" spans="1:26" x14ac:dyDescent="0.35">
      <c r="A103" s="176">
        <v>135</v>
      </c>
      <c r="B103" s="177"/>
      <c r="C103" s="178"/>
      <c r="D103" s="178"/>
      <c r="E103" s="178"/>
      <c r="F103" s="179"/>
      <c r="G103" s="179"/>
      <c r="H103" s="206"/>
      <c r="I103" s="179"/>
      <c r="J103" s="179"/>
      <c r="K103" s="179"/>
      <c r="L103" s="202">
        <v>0</v>
      </c>
      <c r="M103" s="200">
        <v>0</v>
      </c>
      <c r="N103" s="24">
        <f t="shared" si="23"/>
        <v>0</v>
      </c>
      <c r="O103" s="196">
        <f>IFERROR(IF(($N$4-VLOOKUP(REGISTRO_MAESTRO_m3!X103,DISTRIBUCION_CONTENEDORES!$A$3:$D$530,2) ) &lt; 0,0,($N$4-VLOOKUP(X103,DISTRIBUCION_CONTENEDORES!$A$3:$D$530,2) ) * (M103/VLOOKUP(X103,DISTRIBUCION_CONTENEDORES!$A$3:$D$530,2))),0) *$N$5</f>
        <v>0</v>
      </c>
      <c r="P103" s="194">
        <f t="shared" si="19"/>
        <v>0</v>
      </c>
      <c r="Q103" s="190">
        <f t="shared" si="20"/>
        <v>0</v>
      </c>
      <c r="R103" s="188">
        <f t="shared" si="24"/>
        <v>0</v>
      </c>
      <c r="S103" s="213">
        <v>0</v>
      </c>
      <c r="T103" s="191">
        <f t="shared" si="25"/>
        <v>0</v>
      </c>
      <c r="U103" s="187">
        <f t="shared" si="21"/>
        <v>0</v>
      </c>
      <c r="V103" s="203">
        <f t="shared" si="26"/>
        <v>0</v>
      </c>
      <c r="W103" s="56">
        <f t="shared" si="22"/>
        <v>0</v>
      </c>
      <c r="X103" s="207">
        <v>0</v>
      </c>
      <c r="Y103" s="189">
        <v>0</v>
      </c>
      <c r="Z103" s="189">
        <f t="shared" si="27"/>
        <v>0</v>
      </c>
    </row>
    <row r="104" spans="1:26" x14ac:dyDescent="0.35">
      <c r="A104" s="176">
        <v>136</v>
      </c>
      <c r="B104" s="177"/>
      <c r="C104" s="178"/>
      <c r="D104" s="178"/>
      <c r="E104" s="178"/>
      <c r="F104" s="179"/>
      <c r="G104" s="179"/>
      <c r="H104" s="206"/>
      <c r="I104" s="179"/>
      <c r="J104" s="179"/>
      <c r="K104" s="179"/>
      <c r="L104" s="202">
        <v>0</v>
      </c>
      <c r="M104" s="200">
        <v>0</v>
      </c>
      <c r="N104" s="24">
        <f t="shared" si="23"/>
        <v>0</v>
      </c>
      <c r="O104" s="196">
        <f>IFERROR(IF(($N$4-VLOOKUP(REGISTRO_MAESTRO_m3!X104,DISTRIBUCION_CONTENEDORES!$A$3:$D$530,2) ) &lt; 0,0,($N$4-VLOOKUP(X104,DISTRIBUCION_CONTENEDORES!$A$3:$D$530,2) ) * (M104/VLOOKUP(X104,DISTRIBUCION_CONTENEDORES!$A$3:$D$530,2))),0) *$N$5</f>
        <v>0</v>
      </c>
      <c r="P104" s="194">
        <f t="shared" si="19"/>
        <v>0</v>
      </c>
      <c r="Q104" s="190">
        <f t="shared" si="20"/>
        <v>0</v>
      </c>
      <c r="R104" s="188">
        <f t="shared" si="24"/>
        <v>0</v>
      </c>
      <c r="S104" s="213">
        <v>0</v>
      </c>
      <c r="T104" s="191">
        <f t="shared" si="25"/>
        <v>0</v>
      </c>
      <c r="U104" s="187">
        <f t="shared" si="21"/>
        <v>0</v>
      </c>
      <c r="V104" s="203">
        <f t="shared" si="26"/>
        <v>0</v>
      </c>
      <c r="W104" s="56">
        <f t="shared" si="22"/>
        <v>0</v>
      </c>
      <c r="X104" s="207">
        <v>0</v>
      </c>
      <c r="Y104" s="189">
        <v>0</v>
      </c>
      <c r="Z104" s="189">
        <f t="shared" si="27"/>
        <v>0</v>
      </c>
    </row>
    <row r="105" spans="1:26" x14ac:dyDescent="0.35">
      <c r="A105" s="176">
        <v>137</v>
      </c>
      <c r="B105" s="177"/>
      <c r="C105" s="178"/>
      <c r="D105" s="178"/>
      <c r="E105" s="178"/>
      <c r="F105" s="179"/>
      <c r="G105" s="179"/>
      <c r="H105" s="206"/>
      <c r="I105" s="179"/>
      <c r="J105" s="179"/>
      <c r="K105" s="179"/>
      <c r="L105" s="202">
        <v>0</v>
      </c>
      <c r="M105" s="200">
        <v>0</v>
      </c>
      <c r="N105" s="24">
        <f t="shared" si="23"/>
        <v>0</v>
      </c>
      <c r="O105" s="196">
        <f>IFERROR(IF(($N$4-VLOOKUP(REGISTRO_MAESTRO_m3!X105,DISTRIBUCION_CONTENEDORES!$A$3:$D$530,2) ) &lt; 0,0,($N$4-VLOOKUP(X105,DISTRIBUCION_CONTENEDORES!$A$3:$D$530,2) ) * (M105/VLOOKUP(X105,DISTRIBUCION_CONTENEDORES!$A$3:$D$530,2))),0) *$N$5</f>
        <v>0</v>
      </c>
      <c r="P105" s="194">
        <f t="shared" si="19"/>
        <v>0</v>
      </c>
      <c r="Q105" s="190">
        <f t="shared" si="20"/>
        <v>0</v>
      </c>
      <c r="R105" s="188">
        <f t="shared" si="24"/>
        <v>0</v>
      </c>
      <c r="S105" s="213">
        <v>0</v>
      </c>
      <c r="T105" s="191">
        <f t="shared" si="25"/>
        <v>0</v>
      </c>
      <c r="U105" s="187">
        <f t="shared" si="21"/>
        <v>0</v>
      </c>
      <c r="V105" s="203">
        <f t="shared" si="26"/>
        <v>0</v>
      </c>
      <c r="W105" s="56">
        <f t="shared" si="22"/>
        <v>0</v>
      </c>
      <c r="X105" s="207">
        <v>0</v>
      </c>
      <c r="Y105" s="189">
        <v>0</v>
      </c>
      <c r="Z105" s="189">
        <f t="shared" si="27"/>
        <v>0</v>
      </c>
    </row>
    <row r="106" spans="1:26" x14ac:dyDescent="0.35">
      <c r="A106" s="176">
        <v>138</v>
      </c>
      <c r="B106" s="177"/>
      <c r="C106" s="178"/>
      <c r="D106" s="178"/>
      <c r="E106" s="178"/>
      <c r="F106" s="179"/>
      <c r="G106" s="179"/>
      <c r="H106" s="206"/>
      <c r="I106" s="179"/>
      <c r="J106" s="179"/>
      <c r="K106" s="179"/>
      <c r="L106" s="202">
        <v>0</v>
      </c>
      <c r="M106" s="200">
        <v>0</v>
      </c>
      <c r="N106" s="24">
        <f t="shared" si="23"/>
        <v>0</v>
      </c>
      <c r="O106" s="196">
        <f>IFERROR(IF(($N$4-VLOOKUP(REGISTRO_MAESTRO_m3!X106,DISTRIBUCION_CONTENEDORES!$A$3:$D$530,2) ) &lt; 0,0,($N$4-VLOOKUP(X106,DISTRIBUCION_CONTENEDORES!$A$3:$D$530,2) ) * (M106/VLOOKUP(X106,DISTRIBUCION_CONTENEDORES!$A$3:$D$530,2))),0) *$N$5</f>
        <v>0</v>
      </c>
      <c r="P106" s="194">
        <f t="shared" si="19"/>
        <v>0</v>
      </c>
      <c r="Q106" s="190">
        <f t="shared" si="20"/>
        <v>0</v>
      </c>
      <c r="R106" s="188">
        <f t="shared" si="24"/>
        <v>0</v>
      </c>
      <c r="S106" s="213">
        <v>0</v>
      </c>
      <c r="T106" s="191">
        <f t="shared" si="25"/>
        <v>0</v>
      </c>
      <c r="U106" s="187">
        <f t="shared" si="21"/>
        <v>0</v>
      </c>
      <c r="V106" s="203">
        <f t="shared" si="26"/>
        <v>0</v>
      </c>
      <c r="W106" s="56">
        <f t="shared" si="22"/>
        <v>0</v>
      </c>
      <c r="X106" s="207">
        <v>0</v>
      </c>
      <c r="Y106" s="189">
        <v>0</v>
      </c>
      <c r="Z106" s="189">
        <f t="shared" si="27"/>
        <v>0</v>
      </c>
    </row>
    <row r="107" spans="1:26" x14ac:dyDescent="0.35">
      <c r="A107" s="176">
        <v>139</v>
      </c>
      <c r="B107" s="177"/>
      <c r="C107" s="178"/>
      <c r="D107" s="178"/>
      <c r="E107" s="178"/>
      <c r="F107" s="179"/>
      <c r="G107" s="179"/>
      <c r="H107" s="206"/>
      <c r="I107" s="179"/>
      <c r="J107" s="179"/>
      <c r="K107" s="179"/>
      <c r="L107" s="202">
        <v>0</v>
      </c>
      <c r="M107" s="200">
        <v>0</v>
      </c>
      <c r="N107" s="24">
        <f t="shared" si="23"/>
        <v>0</v>
      </c>
      <c r="O107" s="196">
        <f>IFERROR(IF(($N$4-VLOOKUP(REGISTRO_MAESTRO_m3!X107,DISTRIBUCION_CONTENEDORES!$A$3:$D$530,2) ) &lt; 0,0,($N$4-VLOOKUP(X107,DISTRIBUCION_CONTENEDORES!$A$3:$D$530,2) ) * (M107/VLOOKUP(X107,DISTRIBUCION_CONTENEDORES!$A$3:$D$530,2))),0) *$N$5</f>
        <v>0</v>
      </c>
      <c r="P107" s="194">
        <f t="shared" si="19"/>
        <v>0</v>
      </c>
      <c r="Q107" s="190">
        <f t="shared" si="20"/>
        <v>0</v>
      </c>
      <c r="R107" s="188">
        <f t="shared" si="24"/>
        <v>0</v>
      </c>
      <c r="S107" s="213">
        <v>0</v>
      </c>
      <c r="T107" s="191">
        <f t="shared" si="25"/>
        <v>0</v>
      </c>
      <c r="U107" s="187">
        <f t="shared" si="21"/>
        <v>0</v>
      </c>
      <c r="V107" s="203">
        <f t="shared" si="26"/>
        <v>0</v>
      </c>
      <c r="W107" s="56">
        <f t="shared" si="22"/>
        <v>0</v>
      </c>
      <c r="X107" s="207">
        <v>0</v>
      </c>
      <c r="Y107" s="189">
        <v>0</v>
      </c>
      <c r="Z107" s="189">
        <f t="shared" si="27"/>
        <v>0</v>
      </c>
    </row>
    <row r="108" spans="1:26" x14ac:dyDescent="0.35">
      <c r="A108" s="176">
        <v>140</v>
      </c>
      <c r="B108" s="177"/>
      <c r="C108" s="178"/>
      <c r="D108" s="178"/>
      <c r="E108" s="178"/>
      <c r="F108" s="179"/>
      <c r="G108" s="179"/>
      <c r="H108" s="206"/>
      <c r="I108" s="179"/>
      <c r="J108" s="179"/>
      <c r="K108" s="179"/>
      <c r="L108" s="202">
        <v>0</v>
      </c>
      <c r="M108" s="200">
        <v>0</v>
      </c>
      <c r="N108" s="24">
        <f t="shared" si="23"/>
        <v>0</v>
      </c>
      <c r="O108" s="196">
        <f>IFERROR(IF(($N$4-VLOOKUP(REGISTRO_MAESTRO_m3!X108,DISTRIBUCION_CONTENEDORES!$A$3:$D$530,2) ) &lt; 0,0,($N$4-VLOOKUP(X108,DISTRIBUCION_CONTENEDORES!$A$3:$D$530,2) ) * (M108/VLOOKUP(X108,DISTRIBUCION_CONTENEDORES!$A$3:$D$530,2))),0) *$N$5</f>
        <v>0</v>
      </c>
      <c r="P108" s="194">
        <f t="shared" si="19"/>
        <v>0</v>
      </c>
      <c r="Q108" s="190">
        <f t="shared" si="20"/>
        <v>0</v>
      </c>
      <c r="R108" s="188">
        <f t="shared" si="24"/>
        <v>0</v>
      </c>
      <c r="S108" s="213">
        <v>0</v>
      </c>
      <c r="T108" s="191">
        <f t="shared" si="25"/>
        <v>0</v>
      </c>
      <c r="U108" s="187">
        <f t="shared" si="21"/>
        <v>0</v>
      </c>
      <c r="V108" s="203">
        <f t="shared" si="26"/>
        <v>0</v>
      </c>
      <c r="W108" s="56">
        <f t="shared" si="22"/>
        <v>0</v>
      </c>
      <c r="X108" s="207">
        <v>0</v>
      </c>
      <c r="Y108" s="189">
        <v>0</v>
      </c>
      <c r="Z108" s="189">
        <f t="shared" si="27"/>
        <v>0</v>
      </c>
    </row>
    <row r="109" spans="1:26" x14ac:dyDescent="0.35">
      <c r="A109" s="176">
        <v>141</v>
      </c>
      <c r="B109" s="177"/>
      <c r="C109" s="178"/>
      <c r="D109" s="178"/>
      <c r="E109" s="178"/>
      <c r="F109" s="179"/>
      <c r="G109" s="179"/>
      <c r="H109" s="206"/>
      <c r="I109" s="179"/>
      <c r="J109" s="179"/>
      <c r="K109" s="179"/>
      <c r="L109" s="202">
        <v>0</v>
      </c>
      <c r="M109" s="200">
        <v>0</v>
      </c>
      <c r="N109" s="24">
        <f t="shared" si="23"/>
        <v>0</v>
      </c>
      <c r="O109" s="196">
        <f>IFERROR(IF(($N$4-VLOOKUP(REGISTRO_MAESTRO_m3!X109,DISTRIBUCION_CONTENEDORES!$A$3:$D$530,2) ) &lt; 0,0,($N$4-VLOOKUP(X109,DISTRIBUCION_CONTENEDORES!$A$3:$D$530,2) ) * (M109/VLOOKUP(X109,DISTRIBUCION_CONTENEDORES!$A$3:$D$530,2))),0) *$N$5</f>
        <v>0</v>
      </c>
      <c r="P109" s="194">
        <f t="shared" si="19"/>
        <v>0</v>
      </c>
      <c r="Q109" s="190">
        <f t="shared" si="20"/>
        <v>0</v>
      </c>
      <c r="R109" s="188">
        <f t="shared" si="24"/>
        <v>0</v>
      </c>
      <c r="S109" s="213">
        <v>0</v>
      </c>
      <c r="T109" s="191">
        <f t="shared" si="25"/>
        <v>0</v>
      </c>
      <c r="U109" s="187">
        <f t="shared" si="21"/>
        <v>0</v>
      </c>
      <c r="V109" s="203">
        <f t="shared" si="26"/>
        <v>0</v>
      </c>
      <c r="W109" s="56">
        <f t="shared" si="22"/>
        <v>0</v>
      </c>
      <c r="X109" s="207">
        <v>0</v>
      </c>
      <c r="Y109" s="189">
        <v>0</v>
      </c>
      <c r="Z109" s="189">
        <f t="shared" si="27"/>
        <v>0</v>
      </c>
    </row>
    <row r="110" spans="1:26" x14ac:dyDescent="0.35">
      <c r="A110" s="176">
        <v>142</v>
      </c>
      <c r="B110" s="177"/>
      <c r="C110" s="178"/>
      <c r="D110" s="178"/>
      <c r="E110" s="178"/>
      <c r="F110" s="179"/>
      <c r="G110" s="179"/>
      <c r="H110" s="206"/>
      <c r="I110" s="179"/>
      <c r="J110" s="179"/>
      <c r="K110" s="179"/>
      <c r="L110" s="202">
        <v>0</v>
      </c>
      <c r="M110" s="200">
        <v>0</v>
      </c>
      <c r="N110" s="24">
        <f t="shared" si="23"/>
        <v>0</v>
      </c>
      <c r="O110" s="196">
        <f>IFERROR(IF(($N$4-VLOOKUP(REGISTRO_MAESTRO_m3!X110,DISTRIBUCION_CONTENEDORES!$A$3:$D$530,2) ) &lt; 0,0,($N$4-VLOOKUP(X110,DISTRIBUCION_CONTENEDORES!$A$3:$D$530,2) ) * (M110/VLOOKUP(X110,DISTRIBUCION_CONTENEDORES!$A$3:$D$530,2))),0) *$N$5</f>
        <v>0</v>
      </c>
      <c r="P110" s="194">
        <f t="shared" si="19"/>
        <v>0</v>
      </c>
      <c r="Q110" s="190">
        <f t="shared" si="20"/>
        <v>0</v>
      </c>
      <c r="R110" s="188">
        <f t="shared" si="24"/>
        <v>0</v>
      </c>
      <c r="S110" s="213">
        <v>0</v>
      </c>
      <c r="T110" s="191">
        <f t="shared" si="25"/>
        <v>0</v>
      </c>
      <c r="U110" s="187">
        <f t="shared" si="21"/>
        <v>0</v>
      </c>
      <c r="V110" s="203">
        <f t="shared" si="26"/>
        <v>0</v>
      </c>
      <c r="W110" s="56">
        <f t="shared" si="22"/>
        <v>0</v>
      </c>
      <c r="X110" s="207">
        <v>0</v>
      </c>
      <c r="Y110" s="189">
        <v>0</v>
      </c>
      <c r="Z110" s="189">
        <f t="shared" si="27"/>
        <v>0</v>
      </c>
    </row>
    <row r="111" spans="1:26" x14ac:dyDescent="0.35">
      <c r="A111" s="176">
        <v>143</v>
      </c>
      <c r="B111" s="177"/>
      <c r="C111" s="178"/>
      <c r="D111" s="178"/>
      <c r="E111" s="178"/>
      <c r="F111" s="179"/>
      <c r="G111" s="179"/>
      <c r="H111" s="206"/>
      <c r="I111" s="179"/>
      <c r="J111" s="179"/>
      <c r="K111" s="179"/>
      <c r="L111" s="202">
        <v>0</v>
      </c>
      <c r="M111" s="200">
        <v>0</v>
      </c>
      <c r="N111" s="24">
        <f t="shared" si="23"/>
        <v>0</v>
      </c>
      <c r="O111" s="196">
        <f>IFERROR(IF(($N$4-VLOOKUP(REGISTRO_MAESTRO_m3!X111,DISTRIBUCION_CONTENEDORES!$A$3:$D$530,2) ) &lt; 0,0,($N$4-VLOOKUP(X111,DISTRIBUCION_CONTENEDORES!$A$3:$D$530,2) ) * (M111/VLOOKUP(X111,DISTRIBUCION_CONTENEDORES!$A$3:$D$530,2))),0) *$N$5</f>
        <v>0</v>
      </c>
      <c r="P111" s="194">
        <f t="shared" ref="P111:P174" si="28">N111+O111</f>
        <v>0</v>
      </c>
      <c r="Q111" s="190">
        <f t="shared" ref="Q111:Q174" si="29">P111-L111</f>
        <v>0</v>
      </c>
      <c r="R111" s="188">
        <f t="shared" si="24"/>
        <v>0</v>
      </c>
      <c r="S111" s="213">
        <v>0</v>
      </c>
      <c r="T111" s="191">
        <f t="shared" si="25"/>
        <v>0</v>
      </c>
      <c r="U111" s="187">
        <f t="shared" ref="U111:U174" si="30">IF(Q111&lt; 0, 0, Q111-S111)</f>
        <v>0</v>
      </c>
      <c r="V111" s="203">
        <f t="shared" si="26"/>
        <v>0</v>
      </c>
      <c r="W111" s="56">
        <f t="shared" ref="W111:W174" si="31">M111*$N$8</f>
        <v>0</v>
      </c>
      <c r="X111" s="207">
        <v>0</v>
      </c>
      <c r="Y111" s="189">
        <v>0</v>
      </c>
      <c r="Z111" s="189">
        <f t="shared" si="27"/>
        <v>0</v>
      </c>
    </row>
    <row r="112" spans="1:26" x14ac:dyDescent="0.35">
      <c r="A112" s="176">
        <v>144</v>
      </c>
      <c r="B112" s="177"/>
      <c r="C112" s="178"/>
      <c r="D112" s="178"/>
      <c r="E112" s="178"/>
      <c r="F112" s="179"/>
      <c r="G112" s="179"/>
      <c r="H112" s="206"/>
      <c r="I112" s="179"/>
      <c r="J112" s="179"/>
      <c r="K112" s="179"/>
      <c r="L112" s="202">
        <v>0</v>
      </c>
      <c r="M112" s="200">
        <v>0</v>
      </c>
      <c r="N112" s="24">
        <f t="shared" si="23"/>
        <v>0</v>
      </c>
      <c r="O112" s="196">
        <f>IFERROR(IF(($N$4-VLOOKUP(REGISTRO_MAESTRO_m3!X112,DISTRIBUCION_CONTENEDORES!$A$3:$D$530,2) ) &lt; 0,0,($N$4-VLOOKUP(X112,DISTRIBUCION_CONTENEDORES!$A$3:$D$530,2) ) * (M112/VLOOKUP(X112,DISTRIBUCION_CONTENEDORES!$A$3:$D$530,2))),0) *$N$5</f>
        <v>0</v>
      </c>
      <c r="P112" s="194">
        <f t="shared" si="28"/>
        <v>0</v>
      </c>
      <c r="Q112" s="190">
        <f t="shared" si="29"/>
        <v>0</v>
      </c>
      <c r="R112" s="188">
        <f t="shared" si="24"/>
        <v>0</v>
      </c>
      <c r="S112" s="213">
        <v>0</v>
      </c>
      <c r="T112" s="191">
        <f t="shared" si="25"/>
        <v>0</v>
      </c>
      <c r="U112" s="187">
        <f t="shared" si="30"/>
        <v>0</v>
      </c>
      <c r="V112" s="203">
        <f t="shared" si="26"/>
        <v>0</v>
      </c>
      <c r="W112" s="56">
        <f t="shared" si="31"/>
        <v>0</v>
      </c>
      <c r="X112" s="207">
        <v>0</v>
      </c>
      <c r="Y112" s="189">
        <v>0</v>
      </c>
      <c r="Z112" s="189">
        <f t="shared" si="27"/>
        <v>0</v>
      </c>
    </row>
    <row r="113" spans="1:26" x14ac:dyDescent="0.35">
      <c r="A113" s="176">
        <v>145</v>
      </c>
      <c r="B113" s="177"/>
      <c r="C113" s="178"/>
      <c r="D113" s="178"/>
      <c r="E113" s="178"/>
      <c r="F113" s="179"/>
      <c r="G113" s="179"/>
      <c r="H113" s="206"/>
      <c r="I113" s="179"/>
      <c r="J113" s="179"/>
      <c r="K113" s="179"/>
      <c r="L113" s="202">
        <v>0</v>
      </c>
      <c r="M113" s="200">
        <v>0</v>
      </c>
      <c r="N113" s="24">
        <f t="shared" si="23"/>
        <v>0</v>
      </c>
      <c r="O113" s="196">
        <f>IFERROR(IF(($N$4-VLOOKUP(REGISTRO_MAESTRO_m3!X113,DISTRIBUCION_CONTENEDORES!$A$3:$D$530,2) ) &lt; 0,0,($N$4-VLOOKUP(X113,DISTRIBUCION_CONTENEDORES!$A$3:$D$530,2) ) * (M113/VLOOKUP(X113,DISTRIBUCION_CONTENEDORES!$A$3:$D$530,2))),0) *$N$5</f>
        <v>0</v>
      </c>
      <c r="P113" s="194">
        <f t="shared" si="28"/>
        <v>0</v>
      </c>
      <c r="Q113" s="190">
        <f t="shared" si="29"/>
        <v>0</v>
      </c>
      <c r="R113" s="188">
        <f t="shared" si="24"/>
        <v>0</v>
      </c>
      <c r="S113" s="213">
        <v>0</v>
      </c>
      <c r="T113" s="191">
        <f t="shared" si="25"/>
        <v>0</v>
      </c>
      <c r="U113" s="187">
        <f t="shared" si="30"/>
        <v>0</v>
      </c>
      <c r="V113" s="203">
        <f t="shared" si="26"/>
        <v>0</v>
      </c>
      <c r="W113" s="56">
        <f t="shared" si="31"/>
        <v>0</v>
      </c>
      <c r="X113" s="207">
        <v>0</v>
      </c>
      <c r="Y113" s="189">
        <v>0</v>
      </c>
      <c r="Z113" s="189">
        <f t="shared" si="27"/>
        <v>0</v>
      </c>
    </row>
    <row r="114" spans="1:26" x14ac:dyDescent="0.35">
      <c r="A114" s="176">
        <v>146</v>
      </c>
      <c r="B114" s="177"/>
      <c r="C114" s="178"/>
      <c r="D114" s="178"/>
      <c r="E114" s="178"/>
      <c r="F114" s="179"/>
      <c r="G114" s="179"/>
      <c r="H114" s="206"/>
      <c r="I114" s="179"/>
      <c r="J114" s="179"/>
      <c r="K114" s="179"/>
      <c r="L114" s="202">
        <v>0</v>
      </c>
      <c r="M114" s="200">
        <v>0</v>
      </c>
      <c r="N114" s="24">
        <f t="shared" si="23"/>
        <v>0</v>
      </c>
      <c r="O114" s="196">
        <f>IFERROR(IF(($N$4-VLOOKUP(REGISTRO_MAESTRO_m3!X114,DISTRIBUCION_CONTENEDORES!$A$3:$D$530,2) ) &lt; 0,0,($N$4-VLOOKUP(X114,DISTRIBUCION_CONTENEDORES!$A$3:$D$530,2) ) * (M114/VLOOKUP(X114,DISTRIBUCION_CONTENEDORES!$A$3:$D$530,2))),0) *$N$5</f>
        <v>0</v>
      </c>
      <c r="P114" s="194">
        <f t="shared" si="28"/>
        <v>0</v>
      </c>
      <c r="Q114" s="190">
        <f t="shared" si="29"/>
        <v>0</v>
      </c>
      <c r="R114" s="188">
        <f t="shared" si="24"/>
        <v>0</v>
      </c>
      <c r="S114" s="213">
        <v>0</v>
      </c>
      <c r="T114" s="191">
        <f t="shared" si="25"/>
        <v>0</v>
      </c>
      <c r="U114" s="187">
        <f t="shared" si="30"/>
        <v>0</v>
      </c>
      <c r="V114" s="203">
        <f t="shared" si="26"/>
        <v>0</v>
      </c>
      <c r="W114" s="56">
        <f t="shared" si="31"/>
        <v>0</v>
      </c>
      <c r="X114" s="207">
        <v>0</v>
      </c>
      <c r="Y114" s="189">
        <v>0</v>
      </c>
      <c r="Z114" s="189">
        <f t="shared" si="27"/>
        <v>0</v>
      </c>
    </row>
    <row r="115" spans="1:26" x14ac:dyDescent="0.35">
      <c r="A115" s="176">
        <v>147</v>
      </c>
      <c r="B115" s="177"/>
      <c r="C115" s="178"/>
      <c r="D115" s="178"/>
      <c r="E115" s="178"/>
      <c r="F115" s="179"/>
      <c r="G115" s="179"/>
      <c r="H115" s="206"/>
      <c r="I115" s="179"/>
      <c r="J115" s="179"/>
      <c r="K115" s="179"/>
      <c r="L115" s="202">
        <v>0</v>
      </c>
      <c r="M115" s="200">
        <v>0</v>
      </c>
      <c r="N115" s="24">
        <f t="shared" si="23"/>
        <v>0</v>
      </c>
      <c r="O115" s="196">
        <f>IFERROR(IF(($N$4-VLOOKUP(REGISTRO_MAESTRO_m3!X115,DISTRIBUCION_CONTENEDORES!$A$3:$D$530,2) ) &lt; 0,0,($N$4-VLOOKUP(X115,DISTRIBUCION_CONTENEDORES!$A$3:$D$530,2) ) * (M115/VLOOKUP(X115,DISTRIBUCION_CONTENEDORES!$A$3:$D$530,2))),0) *$N$5</f>
        <v>0</v>
      </c>
      <c r="P115" s="194">
        <f t="shared" si="28"/>
        <v>0</v>
      </c>
      <c r="Q115" s="190">
        <f t="shared" si="29"/>
        <v>0</v>
      </c>
      <c r="R115" s="188">
        <f t="shared" si="24"/>
        <v>0</v>
      </c>
      <c r="S115" s="213">
        <v>0</v>
      </c>
      <c r="T115" s="191">
        <f t="shared" si="25"/>
        <v>0</v>
      </c>
      <c r="U115" s="187">
        <f t="shared" si="30"/>
        <v>0</v>
      </c>
      <c r="V115" s="203">
        <f t="shared" si="26"/>
        <v>0</v>
      </c>
      <c r="W115" s="56">
        <f t="shared" si="31"/>
        <v>0</v>
      </c>
      <c r="X115" s="207">
        <v>0</v>
      </c>
      <c r="Y115" s="189">
        <v>0</v>
      </c>
      <c r="Z115" s="189">
        <f t="shared" si="27"/>
        <v>0</v>
      </c>
    </row>
    <row r="116" spans="1:26" x14ac:dyDescent="0.35">
      <c r="A116" s="176">
        <v>148</v>
      </c>
      <c r="B116" s="177"/>
      <c r="C116" s="178"/>
      <c r="D116" s="178"/>
      <c r="E116" s="178"/>
      <c r="F116" s="179"/>
      <c r="G116" s="179"/>
      <c r="H116" s="206"/>
      <c r="I116" s="179"/>
      <c r="J116" s="179"/>
      <c r="K116" s="179"/>
      <c r="L116" s="202">
        <v>0</v>
      </c>
      <c r="M116" s="200">
        <v>0</v>
      </c>
      <c r="N116" s="24">
        <f t="shared" si="23"/>
        <v>0</v>
      </c>
      <c r="O116" s="196">
        <f>IFERROR(IF(($N$4-VLOOKUP(REGISTRO_MAESTRO_m3!X116,DISTRIBUCION_CONTENEDORES!$A$3:$D$530,2) ) &lt; 0,0,($N$4-VLOOKUP(X116,DISTRIBUCION_CONTENEDORES!$A$3:$D$530,2) ) * (M116/VLOOKUP(X116,DISTRIBUCION_CONTENEDORES!$A$3:$D$530,2))),0) *$N$5</f>
        <v>0</v>
      </c>
      <c r="P116" s="194">
        <f t="shared" si="28"/>
        <v>0</v>
      </c>
      <c r="Q116" s="190">
        <f t="shared" si="29"/>
        <v>0</v>
      </c>
      <c r="R116" s="188">
        <f t="shared" si="24"/>
        <v>0</v>
      </c>
      <c r="S116" s="213">
        <v>0</v>
      </c>
      <c r="T116" s="191">
        <f t="shared" si="25"/>
        <v>0</v>
      </c>
      <c r="U116" s="187">
        <f t="shared" si="30"/>
        <v>0</v>
      </c>
      <c r="V116" s="203">
        <f t="shared" si="26"/>
        <v>0</v>
      </c>
      <c r="W116" s="56">
        <f t="shared" si="31"/>
        <v>0</v>
      </c>
      <c r="X116" s="207">
        <v>0</v>
      </c>
      <c r="Y116" s="189">
        <v>0</v>
      </c>
      <c r="Z116" s="189">
        <f t="shared" si="27"/>
        <v>0</v>
      </c>
    </row>
    <row r="117" spans="1:26" x14ac:dyDescent="0.35">
      <c r="A117" s="176">
        <v>149</v>
      </c>
      <c r="B117" s="177"/>
      <c r="C117" s="178"/>
      <c r="D117" s="178"/>
      <c r="E117" s="178"/>
      <c r="F117" s="179"/>
      <c r="G117" s="179"/>
      <c r="H117" s="206"/>
      <c r="I117" s="179"/>
      <c r="J117" s="179"/>
      <c r="K117" s="179"/>
      <c r="L117" s="202">
        <v>0</v>
      </c>
      <c r="M117" s="200">
        <v>0</v>
      </c>
      <c r="N117" s="24">
        <f t="shared" si="23"/>
        <v>0</v>
      </c>
      <c r="O117" s="196">
        <f>IFERROR(IF(($N$4-VLOOKUP(REGISTRO_MAESTRO_m3!X117,DISTRIBUCION_CONTENEDORES!$A$3:$D$530,2) ) &lt; 0,0,($N$4-VLOOKUP(X117,DISTRIBUCION_CONTENEDORES!$A$3:$D$530,2) ) * (M117/VLOOKUP(X117,DISTRIBUCION_CONTENEDORES!$A$3:$D$530,2))),0) *$N$5</f>
        <v>0</v>
      </c>
      <c r="P117" s="194">
        <f t="shared" si="28"/>
        <v>0</v>
      </c>
      <c r="Q117" s="190">
        <f t="shared" si="29"/>
        <v>0</v>
      </c>
      <c r="R117" s="188">
        <f t="shared" si="24"/>
        <v>0</v>
      </c>
      <c r="S117" s="213">
        <v>0</v>
      </c>
      <c r="T117" s="191">
        <f t="shared" si="25"/>
        <v>0</v>
      </c>
      <c r="U117" s="187">
        <f t="shared" si="30"/>
        <v>0</v>
      </c>
      <c r="V117" s="203">
        <f t="shared" si="26"/>
        <v>0</v>
      </c>
      <c r="W117" s="56">
        <f t="shared" si="31"/>
        <v>0</v>
      </c>
      <c r="X117" s="207">
        <v>0</v>
      </c>
      <c r="Y117" s="189">
        <v>0</v>
      </c>
      <c r="Z117" s="189">
        <f t="shared" si="27"/>
        <v>0</v>
      </c>
    </row>
    <row r="118" spans="1:26" x14ac:dyDescent="0.35">
      <c r="A118" s="176">
        <v>150</v>
      </c>
      <c r="B118" s="177"/>
      <c r="C118" s="178"/>
      <c r="D118" s="178"/>
      <c r="E118" s="178"/>
      <c r="F118" s="179"/>
      <c r="G118" s="179"/>
      <c r="H118" s="206"/>
      <c r="I118" s="179"/>
      <c r="J118" s="179"/>
      <c r="K118" s="179"/>
      <c r="L118" s="202">
        <v>0</v>
      </c>
      <c r="M118" s="200">
        <v>0</v>
      </c>
      <c r="N118" s="24">
        <f t="shared" si="23"/>
        <v>0</v>
      </c>
      <c r="O118" s="196">
        <f>IFERROR(IF(($N$4-VLOOKUP(REGISTRO_MAESTRO_m3!X118,DISTRIBUCION_CONTENEDORES!$A$3:$D$530,2) ) &lt; 0,0,($N$4-VLOOKUP(X118,DISTRIBUCION_CONTENEDORES!$A$3:$D$530,2) ) * (M118/VLOOKUP(X118,DISTRIBUCION_CONTENEDORES!$A$3:$D$530,2))),0) *$N$5</f>
        <v>0</v>
      </c>
      <c r="P118" s="194">
        <f t="shared" si="28"/>
        <v>0</v>
      </c>
      <c r="Q118" s="190">
        <f t="shared" si="29"/>
        <v>0</v>
      </c>
      <c r="R118" s="188">
        <f t="shared" si="24"/>
        <v>0</v>
      </c>
      <c r="S118" s="213">
        <v>0</v>
      </c>
      <c r="T118" s="191">
        <f t="shared" si="25"/>
        <v>0</v>
      </c>
      <c r="U118" s="187">
        <f t="shared" si="30"/>
        <v>0</v>
      </c>
      <c r="V118" s="203">
        <f t="shared" si="26"/>
        <v>0</v>
      </c>
      <c r="W118" s="56">
        <f t="shared" si="31"/>
        <v>0</v>
      </c>
      <c r="X118" s="207">
        <v>0</v>
      </c>
      <c r="Y118" s="189">
        <v>0</v>
      </c>
      <c r="Z118" s="189">
        <f t="shared" si="27"/>
        <v>0</v>
      </c>
    </row>
    <row r="119" spans="1:26" x14ac:dyDescent="0.35">
      <c r="A119" s="176">
        <v>151</v>
      </c>
      <c r="B119" s="177"/>
      <c r="C119" s="178"/>
      <c r="D119" s="178"/>
      <c r="E119" s="178"/>
      <c r="F119" s="179"/>
      <c r="G119" s="179"/>
      <c r="H119" s="206"/>
      <c r="I119" s="179"/>
      <c r="J119" s="179"/>
      <c r="K119" s="179"/>
      <c r="L119" s="202">
        <v>0</v>
      </c>
      <c r="M119" s="200">
        <v>0</v>
      </c>
      <c r="N119" s="24">
        <f t="shared" si="23"/>
        <v>0</v>
      </c>
      <c r="O119" s="196">
        <f>IFERROR(IF(($N$4-VLOOKUP(REGISTRO_MAESTRO_m3!X119,DISTRIBUCION_CONTENEDORES!$A$3:$D$530,2) ) &lt; 0,0,($N$4-VLOOKUP(X119,DISTRIBUCION_CONTENEDORES!$A$3:$D$530,2) ) * (M119/VLOOKUP(X119,DISTRIBUCION_CONTENEDORES!$A$3:$D$530,2))),0) *$N$5</f>
        <v>0</v>
      </c>
      <c r="P119" s="194">
        <f t="shared" si="28"/>
        <v>0</v>
      </c>
      <c r="Q119" s="190">
        <f t="shared" si="29"/>
        <v>0</v>
      </c>
      <c r="R119" s="188">
        <f t="shared" si="24"/>
        <v>0</v>
      </c>
      <c r="S119" s="213">
        <v>0</v>
      </c>
      <c r="T119" s="191">
        <f t="shared" si="25"/>
        <v>0</v>
      </c>
      <c r="U119" s="187">
        <f t="shared" si="30"/>
        <v>0</v>
      </c>
      <c r="V119" s="203">
        <f t="shared" si="26"/>
        <v>0</v>
      </c>
      <c r="W119" s="56">
        <f t="shared" si="31"/>
        <v>0</v>
      </c>
      <c r="X119" s="207">
        <v>0</v>
      </c>
      <c r="Y119" s="189">
        <v>0</v>
      </c>
      <c r="Z119" s="189">
        <f t="shared" si="27"/>
        <v>0</v>
      </c>
    </row>
    <row r="120" spans="1:26" x14ac:dyDescent="0.35">
      <c r="A120" s="176">
        <v>152</v>
      </c>
      <c r="B120" s="177"/>
      <c r="C120" s="178"/>
      <c r="D120" s="178"/>
      <c r="E120" s="178"/>
      <c r="F120" s="179"/>
      <c r="G120" s="179"/>
      <c r="H120" s="206"/>
      <c r="I120" s="179"/>
      <c r="J120" s="179"/>
      <c r="K120" s="179"/>
      <c r="L120" s="202">
        <v>0</v>
      </c>
      <c r="M120" s="200">
        <v>0</v>
      </c>
      <c r="N120" s="24">
        <f t="shared" si="23"/>
        <v>0</v>
      </c>
      <c r="O120" s="196">
        <f>IFERROR(IF(($N$4-VLOOKUP(REGISTRO_MAESTRO_m3!X120,DISTRIBUCION_CONTENEDORES!$A$3:$D$530,2) ) &lt; 0,0,($N$4-VLOOKUP(X120,DISTRIBUCION_CONTENEDORES!$A$3:$D$530,2) ) * (M120/VLOOKUP(X120,DISTRIBUCION_CONTENEDORES!$A$3:$D$530,2))),0) *$N$5</f>
        <v>0</v>
      </c>
      <c r="P120" s="194">
        <f t="shared" si="28"/>
        <v>0</v>
      </c>
      <c r="Q120" s="190">
        <f t="shared" si="29"/>
        <v>0</v>
      </c>
      <c r="R120" s="188">
        <f t="shared" si="24"/>
        <v>0</v>
      </c>
      <c r="S120" s="213">
        <v>0</v>
      </c>
      <c r="T120" s="191">
        <f t="shared" si="25"/>
        <v>0</v>
      </c>
      <c r="U120" s="187">
        <f t="shared" si="30"/>
        <v>0</v>
      </c>
      <c r="V120" s="203">
        <f t="shared" si="26"/>
        <v>0</v>
      </c>
      <c r="W120" s="56">
        <f t="shared" si="31"/>
        <v>0</v>
      </c>
      <c r="X120" s="207">
        <v>0</v>
      </c>
      <c r="Y120" s="189">
        <v>0</v>
      </c>
      <c r="Z120" s="189">
        <f t="shared" si="27"/>
        <v>0</v>
      </c>
    </row>
    <row r="121" spans="1:26" x14ac:dyDescent="0.35">
      <c r="A121" s="176">
        <v>153</v>
      </c>
      <c r="B121" s="177"/>
      <c r="C121" s="178"/>
      <c r="D121" s="178"/>
      <c r="E121" s="178"/>
      <c r="F121" s="179"/>
      <c r="G121" s="179"/>
      <c r="H121" s="206"/>
      <c r="I121" s="179"/>
      <c r="J121" s="179"/>
      <c r="K121" s="179"/>
      <c r="L121" s="202">
        <v>0</v>
      </c>
      <c r="M121" s="200">
        <v>0</v>
      </c>
      <c r="N121" s="24">
        <f t="shared" si="23"/>
        <v>0</v>
      </c>
      <c r="O121" s="196">
        <f>IFERROR(IF(($N$4-VLOOKUP(REGISTRO_MAESTRO_m3!X121,DISTRIBUCION_CONTENEDORES!$A$3:$D$530,2) ) &lt; 0,0,($N$4-VLOOKUP(X121,DISTRIBUCION_CONTENEDORES!$A$3:$D$530,2) ) * (M121/VLOOKUP(X121,DISTRIBUCION_CONTENEDORES!$A$3:$D$530,2))),0) *$N$5</f>
        <v>0</v>
      </c>
      <c r="P121" s="194">
        <f t="shared" si="28"/>
        <v>0</v>
      </c>
      <c r="Q121" s="190">
        <f t="shared" si="29"/>
        <v>0</v>
      </c>
      <c r="R121" s="188">
        <f t="shared" si="24"/>
        <v>0</v>
      </c>
      <c r="S121" s="213">
        <v>0</v>
      </c>
      <c r="T121" s="191">
        <f t="shared" si="25"/>
        <v>0</v>
      </c>
      <c r="U121" s="187">
        <f t="shared" si="30"/>
        <v>0</v>
      </c>
      <c r="V121" s="203">
        <f t="shared" si="26"/>
        <v>0</v>
      </c>
      <c r="W121" s="56">
        <f t="shared" si="31"/>
        <v>0</v>
      </c>
      <c r="X121" s="207">
        <v>0</v>
      </c>
      <c r="Y121" s="189">
        <v>0</v>
      </c>
      <c r="Z121" s="189">
        <f t="shared" si="27"/>
        <v>0</v>
      </c>
    </row>
    <row r="122" spans="1:26" x14ac:dyDescent="0.35">
      <c r="A122" s="176">
        <v>154</v>
      </c>
      <c r="B122" s="177"/>
      <c r="C122" s="178"/>
      <c r="D122" s="178"/>
      <c r="E122" s="178"/>
      <c r="F122" s="179"/>
      <c r="G122" s="179"/>
      <c r="H122" s="206"/>
      <c r="I122" s="179"/>
      <c r="J122" s="179"/>
      <c r="K122" s="179"/>
      <c r="L122" s="202">
        <v>0</v>
      </c>
      <c r="M122" s="200">
        <v>0</v>
      </c>
      <c r="N122" s="24">
        <f t="shared" si="23"/>
        <v>0</v>
      </c>
      <c r="O122" s="196">
        <f>IFERROR(IF(($N$4-VLOOKUP(REGISTRO_MAESTRO_m3!X122,DISTRIBUCION_CONTENEDORES!$A$3:$D$530,2) ) &lt; 0,0,($N$4-VLOOKUP(X122,DISTRIBUCION_CONTENEDORES!$A$3:$D$530,2) ) * (M122/VLOOKUP(X122,DISTRIBUCION_CONTENEDORES!$A$3:$D$530,2))),0) *$N$5</f>
        <v>0</v>
      </c>
      <c r="P122" s="194">
        <f t="shared" si="28"/>
        <v>0</v>
      </c>
      <c r="Q122" s="190">
        <f t="shared" si="29"/>
        <v>0</v>
      </c>
      <c r="R122" s="188">
        <f t="shared" si="24"/>
        <v>0</v>
      </c>
      <c r="S122" s="213">
        <v>0</v>
      </c>
      <c r="T122" s="191">
        <f t="shared" si="25"/>
        <v>0</v>
      </c>
      <c r="U122" s="187">
        <f t="shared" si="30"/>
        <v>0</v>
      </c>
      <c r="V122" s="203">
        <f t="shared" si="26"/>
        <v>0</v>
      </c>
      <c r="W122" s="56">
        <f t="shared" si="31"/>
        <v>0</v>
      </c>
      <c r="X122" s="207">
        <v>0</v>
      </c>
      <c r="Y122" s="189">
        <v>0</v>
      </c>
      <c r="Z122" s="189">
        <f t="shared" si="27"/>
        <v>0</v>
      </c>
    </row>
    <row r="123" spans="1:26" x14ac:dyDescent="0.35">
      <c r="A123" s="176">
        <v>155</v>
      </c>
      <c r="B123" s="177"/>
      <c r="C123" s="178"/>
      <c r="D123" s="178"/>
      <c r="E123" s="178"/>
      <c r="F123" s="179"/>
      <c r="G123" s="179"/>
      <c r="H123" s="206"/>
      <c r="I123" s="179"/>
      <c r="J123" s="179"/>
      <c r="K123" s="179"/>
      <c r="L123" s="202">
        <v>0</v>
      </c>
      <c r="M123" s="200">
        <v>0</v>
      </c>
      <c r="N123" s="24">
        <f t="shared" si="23"/>
        <v>0</v>
      </c>
      <c r="O123" s="196">
        <f>IFERROR(IF(($N$4-VLOOKUP(REGISTRO_MAESTRO_m3!X123,DISTRIBUCION_CONTENEDORES!$A$3:$D$530,2) ) &lt; 0,0,($N$4-VLOOKUP(X123,DISTRIBUCION_CONTENEDORES!$A$3:$D$530,2) ) * (M123/VLOOKUP(X123,DISTRIBUCION_CONTENEDORES!$A$3:$D$530,2))),0) *$N$5</f>
        <v>0</v>
      </c>
      <c r="P123" s="194">
        <f t="shared" si="28"/>
        <v>0</v>
      </c>
      <c r="Q123" s="190">
        <f t="shared" si="29"/>
        <v>0</v>
      </c>
      <c r="R123" s="188">
        <f t="shared" si="24"/>
        <v>0</v>
      </c>
      <c r="S123" s="213">
        <v>0</v>
      </c>
      <c r="T123" s="191">
        <f t="shared" si="25"/>
        <v>0</v>
      </c>
      <c r="U123" s="187">
        <f t="shared" si="30"/>
        <v>0</v>
      </c>
      <c r="V123" s="203">
        <f t="shared" si="26"/>
        <v>0</v>
      </c>
      <c r="W123" s="56">
        <f t="shared" si="31"/>
        <v>0</v>
      </c>
      <c r="X123" s="207">
        <v>0</v>
      </c>
      <c r="Y123" s="189">
        <v>0</v>
      </c>
      <c r="Z123" s="189">
        <f t="shared" si="27"/>
        <v>0</v>
      </c>
    </row>
    <row r="124" spans="1:26" x14ac:dyDescent="0.35">
      <c r="A124" s="176">
        <v>156</v>
      </c>
      <c r="B124" s="177"/>
      <c r="C124" s="178"/>
      <c r="D124" s="178"/>
      <c r="E124" s="178"/>
      <c r="F124" s="179"/>
      <c r="G124" s="179"/>
      <c r="H124" s="206"/>
      <c r="I124" s="179"/>
      <c r="J124" s="179"/>
      <c r="K124" s="179"/>
      <c r="L124" s="202">
        <v>0</v>
      </c>
      <c r="M124" s="200">
        <v>0</v>
      </c>
      <c r="N124" s="24">
        <f t="shared" si="23"/>
        <v>0</v>
      </c>
      <c r="O124" s="196">
        <f>IFERROR(IF(($N$4-VLOOKUP(REGISTRO_MAESTRO_m3!X124,DISTRIBUCION_CONTENEDORES!$A$3:$D$530,2) ) &lt; 0,0,($N$4-VLOOKUP(X124,DISTRIBUCION_CONTENEDORES!$A$3:$D$530,2) ) * (M124/VLOOKUP(X124,DISTRIBUCION_CONTENEDORES!$A$3:$D$530,2))),0) *$N$5</f>
        <v>0</v>
      </c>
      <c r="P124" s="194">
        <f t="shared" si="28"/>
        <v>0</v>
      </c>
      <c r="Q124" s="190">
        <f t="shared" si="29"/>
        <v>0</v>
      </c>
      <c r="R124" s="188">
        <f t="shared" si="24"/>
        <v>0</v>
      </c>
      <c r="S124" s="213">
        <v>0</v>
      </c>
      <c r="T124" s="191">
        <f t="shared" si="25"/>
        <v>0</v>
      </c>
      <c r="U124" s="187">
        <f t="shared" si="30"/>
        <v>0</v>
      </c>
      <c r="V124" s="203">
        <f t="shared" si="26"/>
        <v>0</v>
      </c>
      <c r="W124" s="56">
        <f t="shared" si="31"/>
        <v>0</v>
      </c>
      <c r="X124" s="207">
        <v>0</v>
      </c>
      <c r="Y124" s="189">
        <v>0</v>
      </c>
      <c r="Z124" s="189">
        <f t="shared" si="27"/>
        <v>0</v>
      </c>
    </row>
    <row r="125" spans="1:26" x14ac:dyDescent="0.35">
      <c r="A125" s="176">
        <v>157</v>
      </c>
      <c r="B125" s="177"/>
      <c r="C125" s="178"/>
      <c r="D125" s="178"/>
      <c r="E125" s="178"/>
      <c r="F125" s="179"/>
      <c r="G125" s="179"/>
      <c r="H125" s="206"/>
      <c r="I125" s="179"/>
      <c r="J125" s="179"/>
      <c r="K125" s="179"/>
      <c r="L125" s="202">
        <v>0</v>
      </c>
      <c r="M125" s="200">
        <v>0</v>
      </c>
      <c r="N125" s="24">
        <f t="shared" si="23"/>
        <v>0</v>
      </c>
      <c r="O125" s="196">
        <f>IFERROR(IF(($N$4-VLOOKUP(REGISTRO_MAESTRO_m3!X125,DISTRIBUCION_CONTENEDORES!$A$3:$D$530,2) ) &lt; 0,0,($N$4-VLOOKUP(X125,DISTRIBUCION_CONTENEDORES!$A$3:$D$530,2) ) * (M125/VLOOKUP(X125,DISTRIBUCION_CONTENEDORES!$A$3:$D$530,2))),0) *$N$5</f>
        <v>0</v>
      </c>
      <c r="P125" s="194">
        <f t="shared" si="28"/>
        <v>0</v>
      </c>
      <c r="Q125" s="190">
        <f t="shared" si="29"/>
        <v>0</v>
      </c>
      <c r="R125" s="188">
        <f t="shared" si="24"/>
        <v>0</v>
      </c>
      <c r="S125" s="213">
        <v>0</v>
      </c>
      <c r="T125" s="191">
        <f t="shared" si="25"/>
        <v>0</v>
      </c>
      <c r="U125" s="187">
        <f t="shared" si="30"/>
        <v>0</v>
      </c>
      <c r="V125" s="203">
        <f t="shared" si="26"/>
        <v>0</v>
      </c>
      <c r="W125" s="56">
        <f t="shared" si="31"/>
        <v>0</v>
      </c>
      <c r="X125" s="207">
        <v>0</v>
      </c>
      <c r="Y125" s="189">
        <v>0</v>
      </c>
      <c r="Z125" s="189">
        <f t="shared" si="27"/>
        <v>0</v>
      </c>
    </row>
    <row r="126" spans="1:26" x14ac:dyDescent="0.35">
      <c r="A126" s="176">
        <v>158</v>
      </c>
      <c r="B126" s="177"/>
      <c r="C126" s="178"/>
      <c r="D126" s="178"/>
      <c r="E126" s="178"/>
      <c r="F126" s="179"/>
      <c r="G126" s="179"/>
      <c r="H126" s="206"/>
      <c r="I126" s="179"/>
      <c r="J126" s="179"/>
      <c r="K126" s="179"/>
      <c r="L126" s="202">
        <v>0</v>
      </c>
      <c r="M126" s="200">
        <v>0</v>
      </c>
      <c r="N126" s="24">
        <f t="shared" si="23"/>
        <v>0</v>
      </c>
      <c r="O126" s="196">
        <f>IFERROR(IF(($N$4-VLOOKUP(REGISTRO_MAESTRO_m3!X126,DISTRIBUCION_CONTENEDORES!$A$3:$D$530,2) ) &lt; 0,0,($N$4-VLOOKUP(X126,DISTRIBUCION_CONTENEDORES!$A$3:$D$530,2) ) * (M126/VLOOKUP(X126,DISTRIBUCION_CONTENEDORES!$A$3:$D$530,2))),0) *$N$5</f>
        <v>0</v>
      </c>
      <c r="P126" s="194">
        <f t="shared" si="28"/>
        <v>0</v>
      </c>
      <c r="Q126" s="190">
        <f t="shared" si="29"/>
        <v>0</v>
      </c>
      <c r="R126" s="188">
        <f t="shared" si="24"/>
        <v>0</v>
      </c>
      <c r="S126" s="213">
        <v>0</v>
      </c>
      <c r="T126" s="191">
        <f t="shared" si="25"/>
        <v>0</v>
      </c>
      <c r="U126" s="187">
        <f t="shared" si="30"/>
        <v>0</v>
      </c>
      <c r="V126" s="203">
        <f t="shared" si="26"/>
        <v>0</v>
      </c>
      <c r="W126" s="56">
        <f t="shared" si="31"/>
        <v>0</v>
      </c>
      <c r="X126" s="207">
        <v>0</v>
      </c>
      <c r="Y126" s="189">
        <v>0</v>
      </c>
      <c r="Z126" s="189">
        <f t="shared" si="27"/>
        <v>0</v>
      </c>
    </row>
    <row r="127" spans="1:26" x14ac:dyDescent="0.35">
      <c r="A127" s="176">
        <v>159</v>
      </c>
      <c r="B127" s="177"/>
      <c r="C127" s="178"/>
      <c r="D127" s="178"/>
      <c r="E127" s="178"/>
      <c r="F127" s="179"/>
      <c r="G127" s="179"/>
      <c r="H127" s="206"/>
      <c r="I127" s="179"/>
      <c r="J127" s="179"/>
      <c r="K127" s="179"/>
      <c r="L127" s="202">
        <v>0</v>
      </c>
      <c r="M127" s="200">
        <v>0</v>
      </c>
      <c r="N127" s="24">
        <f t="shared" si="23"/>
        <v>0</v>
      </c>
      <c r="O127" s="196">
        <f>IFERROR(IF(($N$4-VLOOKUP(REGISTRO_MAESTRO_m3!X127,DISTRIBUCION_CONTENEDORES!$A$3:$D$530,2) ) &lt; 0,0,($N$4-VLOOKUP(X127,DISTRIBUCION_CONTENEDORES!$A$3:$D$530,2) ) * (M127/VLOOKUP(X127,DISTRIBUCION_CONTENEDORES!$A$3:$D$530,2))),0) *$N$5</f>
        <v>0</v>
      </c>
      <c r="P127" s="194">
        <f t="shared" si="28"/>
        <v>0</v>
      </c>
      <c r="Q127" s="190">
        <f t="shared" si="29"/>
        <v>0</v>
      </c>
      <c r="R127" s="188">
        <f t="shared" si="24"/>
        <v>0</v>
      </c>
      <c r="S127" s="213">
        <v>0</v>
      </c>
      <c r="T127" s="191">
        <f t="shared" si="25"/>
        <v>0</v>
      </c>
      <c r="U127" s="187">
        <f t="shared" si="30"/>
        <v>0</v>
      </c>
      <c r="V127" s="203">
        <f t="shared" si="26"/>
        <v>0</v>
      </c>
      <c r="W127" s="56">
        <f t="shared" si="31"/>
        <v>0</v>
      </c>
      <c r="X127" s="207">
        <v>0</v>
      </c>
      <c r="Y127" s="189">
        <v>0</v>
      </c>
      <c r="Z127" s="189">
        <f t="shared" si="27"/>
        <v>0</v>
      </c>
    </row>
    <row r="128" spans="1:26" x14ac:dyDescent="0.35">
      <c r="A128" s="176">
        <v>160</v>
      </c>
      <c r="B128" s="177"/>
      <c r="C128" s="178"/>
      <c r="D128" s="178"/>
      <c r="E128" s="178"/>
      <c r="F128" s="179"/>
      <c r="G128" s="179"/>
      <c r="H128" s="206"/>
      <c r="I128" s="179"/>
      <c r="J128" s="179"/>
      <c r="K128" s="179"/>
      <c r="L128" s="202">
        <v>0</v>
      </c>
      <c r="M128" s="200">
        <v>0</v>
      </c>
      <c r="N128" s="24">
        <f t="shared" si="23"/>
        <v>0</v>
      </c>
      <c r="O128" s="196">
        <f>IFERROR(IF(($N$4-VLOOKUP(REGISTRO_MAESTRO_m3!X128,DISTRIBUCION_CONTENEDORES!$A$3:$D$530,2) ) &lt; 0,0,($N$4-VLOOKUP(X128,DISTRIBUCION_CONTENEDORES!$A$3:$D$530,2) ) * (M128/VLOOKUP(X128,DISTRIBUCION_CONTENEDORES!$A$3:$D$530,2))),0) *$N$5</f>
        <v>0</v>
      </c>
      <c r="P128" s="194">
        <f t="shared" si="28"/>
        <v>0</v>
      </c>
      <c r="Q128" s="190">
        <f t="shared" si="29"/>
        <v>0</v>
      </c>
      <c r="R128" s="188">
        <f t="shared" si="24"/>
        <v>0</v>
      </c>
      <c r="S128" s="213">
        <v>0</v>
      </c>
      <c r="T128" s="191">
        <f t="shared" si="25"/>
        <v>0</v>
      </c>
      <c r="U128" s="187">
        <f t="shared" si="30"/>
        <v>0</v>
      </c>
      <c r="V128" s="203">
        <f t="shared" si="26"/>
        <v>0</v>
      </c>
      <c r="W128" s="56">
        <f t="shared" si="31"/>
        <v>0</v>
      </c>
      <c r="X128" s="207">
        <v>0</v>
      </c>
      <c r="Y128" s="189">
        <v>0</v>
      </c>
      <c r="Z128" s="189">
        <f t="shared" si="27"/>
        <v>0</v>
      </c>
    </row>
    <row r="129" spans="1:26" x14ac:dyDescent="0.35">
      <c r="A129" s="176">
        <v>161</v>
      </c>
      <c r="B129" s="177"/>
      <c r="C129" s="178"/>
      <c r="D129" s="178"/>
      <c r="E129" s="178"/>
      <c r="F129" s="179"/>
      <c r="G129" s="179"/>
      <c r="H129" s="206"/>
      <c r="I129" s="179"/>
      <c r="J129" s="179"/>
      <c r="K129" s="179"/>
      <c r="L129" s="202">
        <v>0</v>
      </c>
      <c r="M129" s="200">
        <v>0</v>
      </c>
      <c r="N129" s="24">
        <f t="shared" si="23"/>
        <v>0</v>
      </c>
      <c r="O129" s="196">
        <f>IFERROR(IF(($N$4-VLOOKUP(REGISTRO_MAESTRO_m3!X129,DISTRIBUCION_CONTENEDORES!$A$3:$D$530,2) ) &lt; 0,0,($N$4-VLOOKUP(X129,DISTRIBUCION_CONTENEDORES!$A$3:$D$530,2) ) * (M129/VLOOKUP(X129,DISTRIBUCION_CONTENEDORES!$A$3:$D$530,2))),0) *$N$5</f>
        <v>0</v>
      </c>
      <c r="P129" s="194">
        <f t="shared" si="28"/>
        <v>0</v>
      </c>
      <c r="Q129" s="190">
        <f t="shared" si="29"/>
        <v>0</v>
      </c>
      <c r="R129" s="188">
        <f t="shared" si="24"/>
        <v>0</v>
      </c>
      <c r="S129" s="213">
        <v>0</v>
      </c>
      <c r="T129" s="191">
        <f t="shared" si="25"/>
        <v>0</v>
      </c>
      <c r="U129" s="187">
        <f t="shared" si="30"/>
        <v>0</v>
      </c>
      <c r="V129" s="203">
        <f t="shared" si="26"/>
        <v>0</v>
      </c>
      <c r="W129" s="56">
        <f t="shared" si="31"/>
        <v>0</v>
      </c>
      <c r="X129" s="207">
        <v>0</v>
      </c>
      <c r="Y129" s="189">
        <v>0</v>
      </c>
      <c r="Z129" s="189">
        <f t="shared" si="27"/>
        <v>0</v>
      </c>
    </row>
    <row r="130" spans="1:26" x14ac:dyDescent="0.35">
      <c r="A130" s="176">
        <v>162</v>
      </c>
      <c r="B130" s="177"/>
      <c r="C130" s="178"/>
      <c r="D130" s="178"/>
      <c r="E130" s="178"/>
      <c r="F130" s="179"/>
      <c r="G130" s="179"/>
      <c r="H130" s="206"/>
      <c r="I130" s="179"/>
      <c r="J130" s="179"/>
      <c r="K130" s="179"/>
      <c r="L130" s="202">
        <v>0</v>
      </c>
      <c r="M130" s="200">
        <v>0</v>
      </c>
      <c r="N130" s="24">
        <f t="shared" si="23"/>
        <v>0</v>
      </c>
      <c r="O130" s="196">
        <f>IFERROR(IF(($N$4-VLOOKUP(REGISTRO_MAESTRO_m3!X130,DISTRIBUCION_CONTENEDORES!$A$3:$D$530,2) ) &lt; 0,0,($N$4-VLOOKUP(X130,DISTRIBUCION_CONTENEDORES!$A$3:$D$530,2) ) * (M130/VLOOKUP(X130,DISTRIBUCION_CONTENEDORES!$A$3:$D$530,2))),0) *$N$5</f>
        <v>0</v>
      </c>
      <c r="P130" s="194">
        <f t="shared" si="28"/>
        <v>0</v>
      </c>
      <c r="Q130" s="190">
        <f t="shared" si="29"/>
        <v>0</v>
      </c>
      <c r="R130" s="188">
        <f t="shared" si="24"/>
        <v>0</v>
      </c>
      <c r="S130" s="213">
        <v>0</v>
      </c>
      <c r="T130" s="191">
        <f t="shared" si="25"/>
        <v>0</v>
      </c>
      <c r="U130" s="187">
        <f t="shared" si="30"/>
        <v>0</v>
      </c>
      <c r="V130" s="203">
        <f t="shared" si="26"/>
        <v>0</v>
      </c>
      <c r="W130" s="56">
        <f t="shared" si="31"/>
        <v>0</v>
      </c>
      <c r="X130" s="207">
        <v>0</v>
      </c>
      <c r="Y130" s="189">
        <v>0</v>
      </c>
      <c r="Z130" s="189">
        <f t="shared" si="27"/>
        <v>0</v>
      </c>
    </row>
    <row r="131" spans="1:26" x14ac:dyDescent="0.35">
      <c r="A131" s="176">
        <v>163</v>
      </c>
      <c r="B131" s="177"/>
      <c r="C131" s="178"/>
      <c r="D131" s="178"/>
      <c r="E131" s="178"/>
      <c r="F131" s="179"/>
      <c r="G131" s="179"/>
      <c r="H131" s="206"/>
      <c r="I131" s="179"/>
      <c r="J131" s="179"/>
      <c r="K131" s="179"/>
      <c r="L131" s="202">
        <v>0</v>
      </c>
      <c r="M131" s="200">
        <v>0</v>
      </c>
      <c r="N131" s="24">
        <f t="shared" si="23"/>
        <v>0</v>
      </c>
      <c r="O131" s="196">
        <f>IFERROR(IF(($N$4-VLOOKUP(REGISTRO_MAESTRO_m3!X131,DISTRIBUCION_CONTENEDORES!$A$3:$D$530,2) ) &lt; 0,0,($N$4-VLOOKUP(X131,DISTRIBUCION_CONTENEDORES!$A$3:$D$530,2) ) * (M131/VLOOKUP(X131,DISTRIBUCION_CONTENEDORES!$A$3:$D$530,2))),0) *$N$5</f>
        <v>0</v>
      </c>
      <c r="P131" s="194">
        <f t="shared" si="28"/>
        <v>0</v>
      </c>
      <c r="Q131" s="190">
        <f t="shared" si="29"/>
        <v>0</v>
      </c>
      <c r="R131" s="188">
        <f t="shared" si="24"/>
        <v>0</v>
      </c>
      <c r="S131" s="213">
        <v>0</v>
      </c>
      <c r="T131" s="191">
        <f t="shared" si="25"/>
        <v>0</v>
      </c>
      <c r="U131" s="187">
        <f t="shared" si="30"/>
        <v>0</v>
      </c>
      <c r="V131" s="203">
        <f t="shared" si="26"/>
        <v>0</v>
      </c>
      <c r="W131" s="56">
        <f t="shared" si="31"/>
        <v>0</v>
      </c>
      <c r="X131" s="207">
        <v>0</v>
      </c>
      <c r="Y131" s="189">
        <v>0</v>
      </c>
      <c r="Z131" s="189">
        <f t="shared" si="27"/>
        <v>0</v>
      </c>
    </row>
    <row r="132" spans="1:26" x14ac:dyDescent="0.35">
      <c r="A132" s="176">
        <v>164</v>
      </c>
      <c r="B132" s="177"/>
      <c r="C132" s="178"/>
      <c r="D132" s="178"/>
      <c r="E132" s="178"/>
      <c r="F132" s="179"/>
      <c r="G132" s="179"/>
      <c r="H132" s="206"/>
      <c r="I132" s="179"/>
      <c r="J132" s="179"/>
      <c r="K132" s="179"/>
      <c r="L132" s="202">
        <v>0</v>
      </c>
      <c r="M132" s="200">
        <v>0</v>
      </c>
      <c r="N132" s="24">
        <f t="shared" si="23"/>
        <v>0</v>
      </c>
      <c r="O132" s="196">
        <f>IFERROR(IF(($N$4-VLOOKUP(REGISTRO_MAESTRO_m3!X132,DISTRIBUCION_CONTENEDORES!$A$3:$D$530,2) ) &lt; 0,0,($N$4-VLOOKUP(X132,DISTRIBUCION_CONTENEDORES!$A$3:$D$530,2) ) * (M132/VLOOKUP(X132,DISTRIBUCION_CONTENEDORES!$A$3:$D$530,2))),0) *$N$5</f>
        <v>0</v>
      </c>
      <c r="P132" s="194">
        <f t="shared" si="28"/>
        <v>0</v>
      </c>
      <c r="Q132" s="190">
        <f t="shared" si="29"/>
        <v>0</v>
      </c>
      <c r="R132" s="188">
        <f t="shared" si="24"/>
        <v>0</v>
      </c>
      <c r="S132" s="213">
        <v>0</v>
      </c>
      <c r="T132" s="191">
        <f t="shared" si="25"/>
        <v>0</v>
      </c>
      <c r="U132" s="187">
        <f t="shared" si="30"/>
        <v>0</v>
      </c>
      <c r="V132" s="203">
        <f t="shared" si="26"/>
        <v>0</v>
      </c>
      <c r="W132" s="56">
        <f t="shared" si="31"/>
        <v>0</v>
      </c>
      <c r="X132" s="207">
        <v>0</v>
      </c>
      <c r="Y132" s="189">
        <v>0</v>
      </c>
      <c r="Z132" s="189">
        <f t="shared" si="27"/>
        <v>0</v>
      </c>
    </row>
    <row r="133" spans="1:26" x14ac:dyDescent="0.35">
      <c r="A133" s="176">
        <v>165</v>
      </c>
      <c r="B133" s="177"/>
      <c r="C133" s="178"/>
      <c r="D133" s="178"/>
      <c r="E133" s="178"/>
      <c r="F133" s="179"/>
      <c r="G133" s="179"/>
      <c r="H133" s="206"/>
      <c r="I133" s="179"/>
      <c r="J133" s="179"/>
      <c r="K133" s="179"/>
      <c r="L133" s="202">
        <v>0</v>
      </c>
      <c r="M133" s="200">
        <v>0</v>
      </c>
      <c r="N133" s="24">
        <f t="shared" si="23"/>
        <v>0</v>
      </c>
      <c r="O133" s="196">
        <f>IFERROR(IF(($N$4-VLOOKUP(REGISTRO_MAESTRO_m3!X133,DISTRIBUCION_CONTENEDORES!$A$3:$D$530,2) ) &lt; 0,0,($N$4-VLOOKUP(X133,DISTRIBUCION_CONTENEDORES!$A$3:$D$530,2) ) * (M133/VLOOKUP(X133,DISTRIBUCION_CONTENEDORES!$A$3:$D$530,2))),0) *$N$5</f>
        <v>0</v>
      </c>
      <c r="P133" s="194">
        <f t="shared" si="28"/>
        <v>0</v>
      </c>
      <c r="Q133" s="190">
        <f t="shared" si="29"/>
        <v>0</v>
      </c>
      <c r="R133" s="188">
        <f t="shared" si="24"/>
        <v>0</v>
      </c>
      <c r="S133" s="213">
        <v>0</v>
      </c>
      <c r="T133" s="191">
        <f t="shared" si="25"/>
        <v>0</v>
      </c>
      <c r="U133" s="187">
        <f t="shared" si="30"/>
        <v>0</v>
      </c>
      <c r="V133" s="203">
        <f t="shared" si="26"/>
        <v>0</v>
      </c>
      <c r="W133" s="56">
        <f t="shared" si="31"/>
        <v>0</v>
      </c>
      <c r="X133" s="207">
        <v>0</v>
      </c>
      <c r="Y133" s="189">
        <v>0</v>
      </c>
      <c r="Z133" s="189">
        <f t="shared" si="27"/>
        <v>0</v>
      </c>
    </row>
    <row r="134" spans="1:26" x14ac:dyDescent="0.35">
      <c r="A134" s="176">
        <v>166</v>
      </c>
      <c r="B134" s="177"/>
      <c r="C134" s="178"/>
      <c r="D134" s="178"/>
      <c r="E134" s="178"/>
      <c r="F134" s="179"/>
      <c r="G134" s="179"/>
      <c r="H134" s="206"/>
      <c r="I134" s="179"/>
      <c r="J134" s="179"/>
      <c r="K134" s="179"/>
      <c r="L134" s="202">
        <v>0</v>
      </c>
      <c r="M134" s="200">
        <v>0</v>
      </c>
      <c r="N134" s="24">
        <f t="shared" si="23"/>
        <v>0</v>
      </c>
      <c r="O134" s="196">
        <f>IFERROR(IF(($N$4-VLOOKUP(REGISTRO_MAESTRO_m3!X134,DISTRIBUCION_CONTENEDORES!$A$3:$D$530,2) ) &lt; 0,0,($N$4-VLOOKUP(X134,DISTRIBUCION_CONTENEDORES!$A$3:$D$530,2) ) * (M134/VLOOKUP(X134,DISTRIBUCION_CONTENEDORES!$A$3:$D$530,2))),0) *$N$5</f>
        <v>0</v>
      </c>
      <c r="P134" s="194">
        <f t="shared" si="28"/>
        <v>0</v>
      </c>
      <c r="Q134" s="190">
        <f t="shared" si="29"/>
        <v>0</v>
      </c>
      <c r="R134" s="188">
        <f t="shared" si="24"/>
        <v>0</v>
      </c>
      <c r="S134" s="213">
        <v>0</v>
      </c>
      <c r="T134" s="191">
        <f t="shared" si="25"/>
        <v>0</v>
      </c>
      <c r="U134" s="187">
        <f t="shared" si="30"/>
        <v>0</v>
      </c>
      <c r="V134" s="203">
        <f t="shared" si="26"/>
        <v>0</v>
      </c>
      <c r="W134" s="56">
        <f t="shared" si="31"/>
        <v>0</v>
      </c>
      <c r="X134" s="207">
        <v>0</v>
      </c>
      <c r="Y134" s="189">
        <v>0</v>
      </c>
      <c r="Z134" s="189">
        <f t="shared" si="27"/>
        <v>0</v>
      </c>
    </row>
    <row r="135" spans="1:26" x14ac:dyDescent="0.35">
      <c r="A135" s="176">
        <v>167</v>
      </c>
      <c r="B135" s="177"/>
      <c r="C135" s="178"/>
      <c r="D135" s="178"/>
      <c r="E135" s="178"/>
      <c r="F135" s="179"/>
      <c r="G135" s="179"/>
      <c r="H135" s="206"/>
      <c r="I135" s="179"/>
      <c r="J135" s="179"/>
      <c r="K135" s="179"/>
      <c r="L135" s="202">
        <v>0</v>
      </c>
      <c r="M135" s="200">
        <v>0</v>
      </c>
      <c r="N135" s="24">
        <f t="shared" si="23"/>
        <v>0</v>
      </c>
      <c r="O135" s="196">
        <f>IFERROR(IF(($N$4-VLOOKUP(REGISTRO_MAESTRO_m3!X135,DISTRIBUCION_CONTENEDORES!$A$3:$D$530,2) ) &lt; 0,0,($N$4-VLOOKUP(X135,DISTRIBUCION_CONTENEDORES!$A$3:$D$530,2) ) * (M135/VLOOKUP(X135,DISTRIBUCION_CONTENEDORES!$A$3:$D$530,2))),0) *$N$5</f>
        <v>0</v>
      </c>
      <c r="P135" s="194">
        <f t="shared" si="28"/>
        <v>0</v>
      </c>
      <c r="Q135" s="190">
        <f t="shared" si="29"/>
        <v>0</v>
      </c>
      <c r="R135" s="188">
        <f t="shared" si="24"/>
        <v>0</v>
      </c>
      <c r="S135" s="213">
        <v>0</v>
      </c>
      <c r="T135" s="191">
        <f t="shared" si="25"/>
        <v>0</v>
      </c>
      <c r="U135" s="187">
        <f t="shared" si="30"/>
        <v>0</v>
      </c>
      <c r="V135" s="203">
        <f t="shared" si="26"/>
        <v>0</v>
      </c>
      <c r="W135" s="56">
        <f t="shared" si="31"/>
        <v>0</v>
      </c>
      <c r="X135" s="207">
        <v>0</v>
      </c>
      <c r="Y135" s="189">
        <v>0</v>
      </c>
      <c r="Z135" s="189">
        <f t="shared" si="27"/>
        <v>0</v>
      </c>
    </row>
    <row r="136" spans="1:26" x14ac:dyDescent="0.35">
      <c r="A136" s="176">
        <v>168</v>
      </c>
      <c r="B136" s="177"/>
      <c r="C136" s="178"/>
      <c r="D136" s="178"/>
      <c r="E136" s="178"/>
      <c r="F136" s="179"/>
      <c r="G136" s="179"/>
      <c r="H136" s="206"/>
      <c r="I136" s="179"/>
      <c r="J136" s="179"/>
      <c r="K136" s="179"/>
      <c r="L136" s="202">
        <v>0</v>
      </c>
      <c r="M136" s="200">
        <v>0</v>
      </c>
      <c r="N136" s="24">
        <f t="shared" si="23"/>
        <v>0</v>
      </c>
      <c r="O136" s="196">
        <f>IFERROR(IF(($N$4-VLOOKUP(REGISTRO_MAESTRO_m3!X136,DISTRIBUCION_CONTENEDORES!$A$3:$D$530,2) ) &lt; 0,0,($N$4-VLOOKUP(X136,DISTRIBUCION_CONTENEDORES!$A$3:$D$530,2) ) * (M136/VLOOKUP(X136,DISTRIBUCION_CONTENEDORES!$A$3:$D$530,2))),0) *$N$5</f>
        <v>0</v>
      </c>
      <c r="P136" s="194">
        <f t="shared" si="28"/>
        <v>0</v>
      </c>
      <c r="Q136" s="190">
        <f t="shared" si="29"/>
        <v>0</v>
      </c>
      <c r="R136" s="188">
        <f t="shared" si="24"/>
        <v>0</v>
      </c>
      <c r="S136" s="213">
        <v>0</v>
      </c>
      <c r="T136" s="191">
        <f t="shared" si="25"/>
        <v>0</v>
      </c>
      <c r="U136" s="187">
        <f t="shared" si="30"/>
        <v>0</v>
      </c>
      <c r="V136" s="203">
        <f t="shared" si="26"/>
        <v>0</v>
      </c>
      <c r="W136" s="56">
        <f t="shared" si="31"/>
        <v>0</v>
      </c>
      <c r="X136" s="207">
        <v>0</v>
      </c>
      <c r="Y136" s="189">
        <v>0</v>
      </c>
      <c r="Z136" s="189">
        <f t="shared" si="27"/>
        <v>0</v>
      </c>
    </row>
    <row r="137" spans="1:26" x14ac:dyDescent="0.35">
      <c r="A137" s="176">
        <v>169</v>
      </c>
      <c r="B137" s="177"/>
      <c r="C137" s="178"/>
      <c r="D137" s="178"/>
      <c r="E137" s="178"/>
      <c r="F137" s="179"/>
      <c r="G137" s="179"/>
      <c r="H137" s="206"/>
      <c r="I137" s="179"/>
      <c r="J137" s="179"/>
      <c r="K137" s="179"/>
      <c r="L137" s="202">
        <v>0</v>
      </c>
      <c r="M137" s="200">
        <v>0</v>
      </c>
      <c r="N137" s="24">
        <f t="shared" si="23"/>
        <v>0</v>
      </c>
      <c r="O137" s="196">
        <f>IFERROR(IF(($N$4-VLOOKUP(REGISTRO_MAESTRO_m3!X137,DISTRIBUCION_CONTENEDORES!$A$3:$D$530,2) ) &lt; 0,0,($N$4-VLOOKUP(X137,DISTRIBUCION_CONTENEDORES!$A$3:$D$530,2) ) * (M137/VLOOKUP(X137,DISTRIBUCION_CONTENEDORES!$A$3:$D$530,2))),0) *$N$5</f>
        <v>0</v>
      </c>
      <c r="P137" s="194">
        <f t="shared" si="28"/>
        <v>0</v>
      </c>
      <c r="Q137" s="190">
        <f t="shared" si="29"/>
        <v>0</v>
      </c>
      <c r="R137" s="188">
        <f t="shared" si="24"/>
        <v>0</v>
      </c>
      <c r="S137" s="213">
        <v>0</v>
      </c>
      <c r="T137" s="191">
        <f t="shared" si="25"/>
        <v>0</v>
      </c>
      <c r="U137" s="187">
        <f t="shared" si="30"/>
        <v>0</v>
      </c>
      <c r="V137" s="203">
        <f t="shared" si="26"/>
        <v>0</v>
      </c>
      <c r="W137" s="56">
        <f t="shared" si="31"/>
        <v>0</v>
      </c>
      <c r="X137" s="207">
        <v>0</v>
      </c>
      <c r="Y137" s="189">
        <v>0</v>
      </c>
      <c r="Z137" s="189">
        <f t="shared" si="27"/>
        <v>0</v>
      </c>
    </row>
    <row r="138" spans="1:26" x14ac:dyDescent="0.35">
      <c r="A138" s="176">
        <v>170</v>
      </c>
      <c r="B138" s="177"/>
      <c r="C138" s="178"/>
      <c r="D138" s="178"/>
      <c r="E138" s="178"/>
      <c r="F138" s="179"/>
      <c r="G138" s="179"/>
      <c r="H138" s="206"/>
      <c r="I138" s="179"/>
      <c r="J138" s="179"/>
      <c r="K138" s="179"/>
      <c r="L138" s="202">
        <v>0</v>
      </c>
      <c r="M138" s="200">
        <v>0</v>
      </c>
      <c r="N138" s="24">
        <f t="shared" si="23"/>
        <v>0</v>
      </c>
      <c r="O138" s="196">
        <f>IFERROR(IF(($N$4-VLOOKUP(REGISTRO_MAESTRO_m3!X138,DISTRIBUCION_CONTENEDORES!$A$3:$D$530,2) ) &lt; 0,0,($N$4-VLOOKUP(X138,DISTRIBUCION_CONTENEDORES!$A$3:$D$530,2) ) * (M138/VLOOKUP(X138,DISTRIBUCION_CONTENEDORES!$A$3:$D$530,2))),0) *$N$5</f>
        <v>0</v>
      </c>
      <c r="P138" s="194">
        <f t="shared" si="28"/>
        <v>0</v>
      </c>
      <c r="Q138" s="190">
        <f t="shared" si="29"/>
        <v>0</v>
      </c>
      <c r="R138" s="188">
        <f t="shared" si="24"/>
        <v>0</v>
      </c>
      <c r="S138" s="213">
        <v>0</v>
      </c>
      <c r="T138" s="191">
        <f t="shared" si="25"/>
        <v>0</v>
      </c>
      <c r="U138" s="187">
        <f t="shared" si="30"/>
        <v>0</v>
      </c>
      <c r="V138" s="203">
        <f t="shared" si="26"/>
        <v>0</v>
      </c>
      <c r="W138" s="56">
        <f t="shared" si="31"/>
        <v>0</v>
      </c>
      <c r="X138" s="207">
        <v>0</v>
      </c>
      <c r="Y138" s="189">
        <v>0</v>
      </c>
      <c r="Z138" s="189">
        <f t="shared" si="27"/>
        <v>0</v>
      </c>
    </row>
    <row r="139" spans="1:26" x14ac:dyDescent="0.35">
      <c r="A139" s="176">
        <v>171</v>
      </c>
      <c r="B139" s="177"/>
      <c r="C139" s="178"/>
      <c r="D139" s="178"/>
      <c r="E139" s="178"/>
      <c r="F139" s="179"/>
      <c r="G139" s="179"/>
      <c r="H139" s="206"/>
      <c r="I139" s="179"/>
      <c r="J139" s="179"/>
      <c r="K139" s="179"/>
      <c r="L139" s="202">
        <v>0</v>
      </c>
      <c r="M139" s="200">
        <v>0</v>
      </c>
      <c r="N139" s="24">
        <f t="shared" si="23"/>
        <v>0</v>
      </c>
      <c r="O139" s="196">
        <f>IFERROR(IF(($N$4-VLOOKUP(REGISTRO_MAESTRO_m3!X139,DISTRIBUCION_CONTENEDORES!$A$3:$D$530,2) ) &lt; 0,0,($N$4-VLOOKUP(X139,DISTRIBUCION_CONTENEDORES!$A$3:$D$530,2) ) * (M139/VLOOKUP(X139,DISTRIBUCION_CONTENEDORES!$A$3:$D$530,2))),0) *$N$5</f>
        <v>0</v>
      </c>
      <c r="P139" s="194">
        <f t="shared" si="28"/>
        <v>0</v>
      </c>
      <c r="Q139" s="190">
        <f t="shared" si="29"/>
        <v>0</v>
      </c>
      <c r="R139" s="188">
        <f t="shared" si="24"/>
        <v>0</v>
      </c>
      <c r="S139" s="213">
        <v>0</v>
      </c>
      <c r="T139" s="191">
        <f t="shared" si="25"/>
        <v>0</v>
      </c>
      <c r="U139" s="187">
        <f t="shared" si="30"/>
        <v>0</v>
      </c>
      <c r="V139" s="203">
        <f t="shared" si="26"/>
        <v>0</v>
      </c>
      <c r="W139" s="56">
        <f t="shared" si="31"/>
        <v>0</v>
      </c>
      <c r="X139" s="207">
        <v>0</v>
      </c>
      <c r="Y139" s="189">
        <v>0</v>
      </c>
      <c r="Z139" s="189">
        <f t="shared" si="27"/>
        <v>0</v>
      </c>
    </row>
    <row r="140" spans="1:26" x14ac:dyDescent="0.35">
      <c r="A140" s="176">
        <v>172</v>
      </c>
      <c r="B140" s="177"/>
      <c r="C140" s="178"/>
      <c r="D140" s="178"/>
      <c r="E140" s="178"/>
      <c r="F140" s="179"/>
      <c r="G140" s="179"/>
      <c r="H140" s="206"/>
      <c r="I140" s="179"/>
      <c r="J140" s="179"/>
      <c r="K140" s="179"/>
      <c r="L140" s="202">
        <v>0</v>
      </c>
      <c r="M140" s="200">
        <v>0</v>
      </c>
      <c r="N140" s="24">
        <f t="shared" si="23"/>
        <v>0</v>
      </c>
      <c r="O140" s="196">
        <f>IFERROR(IF(($N$4-VLOOKUP(REGISTRO_MAESTRO_m3!X140,DISTRIBUCION_CONTENEDORES!$A$3:$D$530,2) ) &lt; 0,0,($N$4-VLOOKUP(X140,DISTRIBUCION_CONTENEDORES!$A$3:$D$530,2) ) * (M140/VLOOKUP(X140,DISTRIBUCION_CONTENEDORES!$A$3:$D$530,2))),0) *$N$5</f>
        <v>0</v>
      </c>
      <c r="P140" s="194">
        <f t="shared" si="28"/>
        <v>0</v>
      </c>
      <c r="Q140" s="190">
        <f t="shared" si="29"/>
        <v>0</v>
      </c>
      <c r="R140" s="188">
        <f t="shared" si="24"/>
        <v>0</v>
      </c>
      <c r="S140" s="213">
        <v>0</v>
      </c>
      <c r="T140" s="191">
        <f t="shared" si="25"/>
        <v>0</v>
      </c>
      <c r="U140" s="187">
        <f t="shared" si="30"/>
        <v>0</v>
      </c>
      <c r="V140" s="203">
        <f t="shared" si="26"/>
        <v>0</v>
      </c>
      <c r="W140" s="56">
        <f t="shared" si="31"/>
        <v>0</v>
      </c>
      <c r="X140" s="207">
        <v>0</v>
      </c>
      <c r="Y140" s="189">
        <v>0</v>
      </c>
      <c r="Z140" s="189">
        <f t="shared" si="27"/>
        <v>0</v>
      </c>
    </row>
    <row r="141" spans="1:26" x14ac:dyDescent="0.35">
      <c r="A141" s="176">
        <v>173</v>
      </c>
      <c r="B141" s="177"/>
      <c r="C141" s="178"/>
      <c r="D141" s="178"/>
      <c r="E141" s="178"/>
      <c r="F141" s="179"/>
      <c r="G141" s="179"/>
      <c r="H141" s="206"/>
      <c r="I141" s="179"/>
      <c r="J141" s="179"/>
      <c r="K141" s="179"/>
      <c r="L141" s="202">
        <v>0</v>
      </c>
      <c r="M141" s="200">
        <v>0</v>
      </c>
      <c r="N141" s="24">
        <f t="shared" si="23"/>
        <v>0</v>
      </c>
      <c r="O141" s="196">
        <f>IFERROR(IF(($N$4-VLOOKUP(REGISTRO_MAESTRO_m3!X141,DISTRIBUCION_CONTENEDORES!$A$3:$D$530,2) ) &lt; 0,0,($N$4-VLOOKUP(X141,DISTRIBUCION_CONTENEDORES!$A$3:$D$530,2) ) * (M141/VLOOKUP(X141,DISTRIBUCION_CONTENEDORES!$A$3:$D$530,2))),0) *$N$5</f>
        <v>0</v>
      </c>
      <c r="P141" s="194">
        <f t="shared" si="28"/>
        <v>0</v>
      </c>
      <c r="Q141" s="190">
        <f t="shared" si="29"/>
        <v>0</v>
      </c>
      <c r="R141" s="188">
        <f t="shared" si="24"/>
        <v>0</v>
      </c>
      <c r="S141" s="213">
        <v>0</v>
      </c>
      <c r="T141" s="191">
        <f t="shared" si="25"/>
        <v>0</v>
      </c>
      <c r="U141" s="187">
        <f t="shared" si="30"/>
        <v>0</v>
      </c>
      <c r="V141" s="203">
        <f t="shared" si="26"/>
        <v>0</v>
      </c>
      <c r="W141" s="56">
        <f t="shared" si="31"/>
        <v>0</v>
      </c>
      <c r="X141" s="207">
        <v>0</v>
      </c>
      <c r="Y141" s="189">
        <v>0</v>
      </c>
      <c r="Z141" s="189">
        <f t="shared" si="27"/>
        <v>0</v>
      </c>
    </row>
    <row r="142" spans="1:26" x14ac:dyDescent="0.35">
      <c r="A142" s="176">
        <v>174</v>
      </c>
      <c r="B142" s="177"/>
      <c r="C142" s="178"/>
      <c r="D142" s="178"/>
      <c r="E142" s="178"/>
      <c r="F142" s="179"/>
      <c r="G142" s="179"/>
      <c r="H142" s="206"/>
      <c r="I142" s="179"/>
      <c r="J142" s="179"/>
      <c r="K142" s="179"/>
      <c r="L142" s="202">
        <v>0</v>
      </c>
      <c r="M142" s="200">
        <v>0</v>
      </c>
      <c r="N142" s="24">
        <f t="shared" si="23"/>
        <v>0</v>
      </c>
      <c r="O142" s="196">
        <f>IFERROR(IF(($N$4-VLOOKUP(REGISTRO_MAESTRO_m3!X142,DISTRIBUCION_CONTENEDORES!$A$3:$D$530,2) ) &lt; 0,0,($N$4-VLOOKUP(X142,DISTRIBUCION_CONTENEDORES!$A$3:$D$530,2) ) * (M142/VLOOKUP(X142,DISTRIBUCION_CONTENEDORES!$A$3:$D$530,2))),0) *$N$5</f>
        <v>0</v>
      </c>
      <c r="P142" s="194">
        <f t="shared" si="28"/>
        <v>0</v>
      </c>
      <c r="Q142" s="190">
        <f t="shared" si="29"/>
        <v>0</v>
      </c>
      <c r="R142" s="188">
        <f t="shared" si="24"/>
        <v>0</v>
      </c>
      <c r="S142" s="213">
        <v>0</v>
      </c>
      <c r="T142" s="191">
        <f t="shared" si="25"/>
        <v>0</v>
      </c>
      <c r="U142" s="187">
        <f t="shared" si="30"/>
        <v>0</v>
      </c>
      <c r="V142" s="203">
        <f t="shared" si="26"/>
        <v>0</v>
      </c>
      <c r="W142" s="56">
        <f t="shared" si="31"/>
        <v>0</v>
      </c>
      <c r="X142" s="207">
        <v>0</v>
      </c>
      <c r="Y142" s="189">
        <v>0</v>
      </c>
      <c r="Z142" s="189">
        <f t="shared" si="27"/>
        <v>0</v>
      </c>
    </row>
    <row r="143" spans="1:26" x14ac:dyDescent="0.35">
      <c r="A143" s="176">
        <v>175</v>
      </c>
      <c r="B143" s="177"/>
      <c r="C143" s="178"/>
      <c r="D143" s="178"/>
      <c r="E143" s="178"/>
      <c r="F143" s="179"/>
      <c r="G143" s="179"/>
      <c r="H143" s="206"/>
      <c r="I143" s="179"/>
      <c r="J143" s="179"/>
      <c r="K143" s="179"/>
      <c r="L143" s="202">
        <v>0</v>
      </c>
      <c r="M143" s="200">
        <v>0</v>
      </c>
      <c r="N143" s="24">
        <f t="shared" si="23"/>
        <v>0</v>
      </c>
      <c r="O143" s="196">
        <f>IFERROR(IF(($N$4-VLOOKUP(REGISTRO_MAESTRO_m3!X143,DISTRIBUCION_CONTENEDORES!$A$3:$D$530,2) ) &lt; 0,0,($N$4-VLOOKUP(X143,DISTRIBUCION_CONTENEDORES!$A$3:$D$530,2) ) * (M143/VLOOKUP(X143,DISTRIBUCION_CONTENEDORES!$A$3:$D$530,2))),0) *$N$5</f>
        <v>0</v>
      </c>
      <c r="P143" s="194">
        <f t="shared" si="28"/>
        <v>0</v>
      </c>
      <c r="Q143" s="190">
        <f t="shared" si="29"/>
        <v>0</v>
      </c>
      <c r="R143" s="188">
        <f t="shared" si="24"/>
        <v>0</v>
      </c>
      <c r="S143" s="213">
        <v>0</v>
      </c>
      <c r="T143" s="191">
        <f t="shared" si="25"/>
        <v>0</v>
      </c>
      <c r="U143" s="187">
        <f t="shared" si="30"/>
        <v>0</v>
      </c>
      <c r="V143" s="203">
        <f t="shared" si="26"/>
        <v>0</v>
      </c>
      <c r="W143" s="56">
        <f t="shared" si="31"/>
        <v>0</v>
      </c>
      <c r="X143" s="207">
        <v>0</v>
      </c>
      <c r="Y143" s="189">
        <v>0</v>
      </c>
      <c r="Z143" s="189">
        <f t="shared" si="27"/>
        <v>0</v>
      </c>
    </row>
    <row r="144" spans="1:26" x14ac:dyDescent="0.35">
      <c r="A144" s="176">
        <v>176</v>
      </c>
      <c r="B144" s="177"/>
      <c r="C144" s="178"/>
      <c r="D144" s="178"/>
      <c r="E144" s="178"/>
      <c r="F144" s="179"/>
      <c r="G144" s="179"/>
      <c r="H144" s="206"/>
      <c r="I144" s="179"/>
      <c r="J144" s="179"/>
      <c r="K144" s="179"/>
      <c r="L144" s="202">
        <v>0</v>
      </c>
      <c r="M144" s="200">
        <v>0</v>
      </c>
      <c r="N144" s="24">
        <f t="shared" si="23"/>
        <v>0</v>
      </c>
      <c r="O144" s="196">
        <f>IFERROR(IF(($N$4-VLOOKUP(REGISTRO_MAESTRO_m3!X144,DISTRIBUCION_CONTENEDORES!$A$3:$D$530,2) ) &lt; 0,0,($N$4-VLOOKUP(X144,DISTRIBUCION_CONTENEDORES!$A$3:$D$530,2) ) * (M144/VLOOKUP(X144,DISTRIBUCION_CONTENEDORES!$A$3:$D$530,2))),0) *$N$5</f>
        <v>0</v>
      </c>
      <c r="P144" s="194">
        <f t="shared" si="28"/>
        <v>0</v>
      </c>
      <c r="Q144" s="190">
        <f t="shared" si="29"/>
        <v>0</v>
      </c>
      <c r="R144" s="188">
        <f t="shared" si="24"/>
        <v>0</v>
      </c>
      <c r="S144" s="213">
        <v>0</v>
      </c>
      <c r="T144" s="191">
        <f t="shared" si="25"/>
        <v>0</v>
      </c>
      <c r="U144" s="187">
        <f t="shared" si="30"/>
        <v>0</v>
      </c>
      <c r="V144" s="203">
        <f t="shared" si="26"/>
        <v>0</v>
      </c>
      <c r="W144" s="56">
        <f t="shared" si="31"/>
        <v>0</v>
      </c>
      <c r="X144" s="207">
        <v>0</v>
      </c>
      <c r="Y144" s="189">
        <v>0</v>
      </c>
      <c r="Z144" s="189">
        <f t="shared" si="27"/>
        <v>0</v>
      </c>
    </row>
    <row r="145" spans="1:26" x14ac:dyDescent="0.35">
      <c r="A145" s="176">
        <v>177</v>
      </c>
      <c r="B145" s="177"/>
      <c r="C145" s="178"/>
      <c r="D145" s="178"/>
      <c r="E145" s="178"/>
      <c r="F145" s="179"/>
      <c r="G145" s="179"/>
      <c r="H145" s="206"/>
      <c r="I145" s="179"/>
      <c r="J145" s="179"/>
      <c r="K145" s="179"/>
      <c r="L145" s="202">
        <v>0</v>
      </c>
      <c r="M145" s="200">
        <v>0</v>
      </c>
      <c r="N145" s="24">
        <f t="shared" si="23"/>
        <v>0</v>
      </c>
      <c r="O145" s="196">
        <f>IFERROR(IF(($N$4-VLOOKUP(REGISTRO_MAESTRO_m3!X145,DISTRIBUCION_CONTENEDORES!$A$3:$D$530,2) ) &lt; 0,0,($N$4-VLOOKUP(X145,DISTRIBUCION_CONTENEDORES!$A$3:$D$530,2) ) * (M145/VLOOKUP(X145,DISTRIBUCION_CONTENEDORES!$A$3:$D$530,2))),0) *$N$5</f>
        <v>0</v>
      </c>
      <c r="P145" s="194">
        <f t="shared" si="28"/>
        <v>0</v>
      </c>
      <c r="Q145" s="190">
        <f t="shared" si="29"/>
        <v>0</v>
      </c>
      <c r="R145" s="188">
        <f t="shared" si="24"/>
        <v>0</v>
      </c>
      <c r="S145" s="213">
        <v>0</v>
      </c>
      <c r="T145" s="191">
        <f t="shared" si="25"/>
        <v>0</v>
      </c>
      <c r="U145" s="187">
        <f t="shared" si="30"/>
        <v>0</v>
      </c>
      <c r="V145" s="203">
        <f t="shared" si="26"/>
        <v>0</v>
      </c>
      <c r="W145" s="56">
        <f t="shared" si="31"/>
        <v>0</v>
      </c>
      <c r="X145" s="207">
        <v>0</v>
      </c>
      <c r="Y145" s="189">
        <v>0</v>
      </c>
      <c r="Z145" s="189">
        <f t="shared" si="27"/>
        <v>0</v>
      </c>
    </row>
    <row r="146" spans="1:26" x14ac:dyDescent="0.35">
      <c r="A146" s="176">
        <v>178</v>
      </c>
      <c r="B146" s="177"/>
      <c r="C146" s="178"/>
      <c r="D146" s="178"/>
      <c r="E146" s="178"/>
      <c r="F146" s="179"/>
      <c r="G146" s="179"/>
      <c r="H146" s="206"/>
      <c r="I146" s="179"/>
      <c r="J146" s="179"/>
      <c r="K146" s="179"/>
      <c r="L146" s="202">
        <v>0</v>
      </c>
      <c r="M146" s="200">
        <v>0</v>
      </c>
      <c r="N146" s="24">
        <f t="shared" si="23"/>
        <v>0</v>
      </c>
      <c r="O146" s="196">
        <f>IFERROR(IF(($N$4-VLOOKUP(REGISTRO_MAESTRO_m3!X146,DISTRIBUCION_CONTENEDORES!$A$3:$D$530,2) ) &lt; 0,0,($N$4-VLOOKUP(X146,DISTRIBUCION_CONTENEDORES!$A$3:$D$530,2) ) * (M146/VLOOKUP(X146,DISTRIBUCION_CONTENEDORES!$A$3:$D$530,2))),0) *$N$5</f>
        <v>0</v>
      </c>
      <c r="P146" s="194">
        <f t="shared" si="28"/>
        <v>0</v>
      </c>
      <c r="Q146" s="190">
        <f t="shared" si="29"/>
        <v>0</v>
      </c>
      <c r="R146" s="188">
        <f t="shared" si="24"/>
        <v>0</v>
      </c>
      <c r="S146" s="213">
        <v>0</v>
      </c>
      <c r="T146" s="191">
        <f t="shared" si="25"/>
        <v>0</v>
      </c>
      <c r="U146" s="187">
        <f t="shared" si="30"/>
        <v>0</v>
      </c>
      <c r="V146" s="203">
        <f t="shared" si="26"/>
        <v>0</v>
      </c>
      <c r="W146" s="56">
        <f t="shared" si="31"/>
        <v>0</v>
      </c>
      <c r="X146" s="207">
        <v>0</v>
      </c>
      <c r="Y146" s="189">
        <v>0</v>
      </c>
      <c r="Z146" s="189">
        <f t="shared" si="27"/>
        <v>0</v>
      </c>
    </row>
    <row r="147" spans="1:26" x14ac:dyDescent="0.35">
      <c r="A147" s="176">
        <v>179</v>
      </c>
      <c r="B147" s="177"/>
      <c r="C147" s="178"/>
      <c r="D147" s="178"/>
      <c r="E147" s="178"/>
      <c r="F147" s="179"/>
      <c r="G147" s="179"/>
      <c r="H147" s="206"/>
      <c r="I147" s="179"/>
      <c r="J147" s="179"/>
      <c r="K147" s="179"/>
      <c r="L147" s="202">
        <v>0</v>
      </c>
      <c r="M147" s="200">
        <v>0</v>
      </c>
      <c r="N147" s="24">
        <f t="shared" si="23"/>
        <v>0</v>
      </c>
      <c r="O147" s="196">
        <f>IFERROR(IF(($N$4-VLOOKUP(REGISTRO_MAESTRO_m3!X147,DISTRIBUCION_CONTENEDORES!$A$3:$D$530,2) ) &lt; 0,0,($N$4-VLOOKUP(X147,DISTRIBUCION_CONTENEDORES!$A$3:$D$530,2) ) * (M147/VLOOKUP(X147,DISTRIBUCION_CONTENEDORES!$A$3:$D$530,2))),0) *$N$5</f>
        <v>0</v>
      </c>
      <c r="P147" s="194">
        <f t="shared" si="28"/>
        <v>0</v>
      </c>
      <c r="Q147" s="190">
        <f t="shared" si="29"/>
        <v>0</v>
      </c>
      <c r="R147" s="188">
        <f t="shared" si="24"/>
        <v>0</v>
      </c>
      <c r="S147" s="213">
        <v>0</v>
      </c>
      <c r="T147" s="191">
        <f t="shared" si="25"/>
        <v>0</v>
      </c>
      <c r="U147" s="187">
        <f t="shared" si="30"/>
        <v>0</v>
      </c>
      <c r="V147" s="203">
        <f t="shared" si="26"/>
        <v>0</v>
      </c>
      <c r="W147" s="56">
        <f t="shared" si="31"/>
        <v>0</v>
      </c>
      <c r="X147" s="207">
        <v>0</v>
      </c>
      <c r="Y147" s="189">
        <v>0</v>
      </c>
      <c r="Z147" s="189">
        <f t="shared" si="27"/>
        <v>0</v>
      </c>
    </row>
    <row r="148" spans="1:26" x14ac:dyDescent="0.35">
      <c r="A148" s="176">
        <v>180</v>
      </c>
      <c r="B148" s="177"/>
      <c r="C148" s="178"/>
      <c r="D148" s="178"/>
      <c r="E148" s="178"/>
      <c r="F148" s="179"/>
      <c r="G148" s="179"/>
      <c r="H148" s="206"/>
      <c r="I148" s="179"/>
      <c r="J148" s="179"/>
      <c r="K148" s="179"/>
      <c r="L148" s="202">
        <v>0</v>
      </c>
      <c r="M148" s="200">
        <v>0</v>
      </c>
      <c r="N148" s="24">
        <f t="shared" si="23"/>
        <v>0</v>
      </c>
      <c r="O148" s="196">
        <f>IFERROR(IF(($N$4-VLOOKUP(REGISTRO_MAESTRO_m3!X148,DISTRIBUCION_CONTENEDORES!$A$3:$D$530,2) ) &lt; 0,0,($N$4-VLOOKUP(X148,DISTRIBUCION_CONTENEDORES!$A$3:$D$530,2) ) * (M148/VLOOKUP(X148,DISTRIBUCION_CONTENEDORES!$A$3:$D$530,2))),0) *$N$5</f>
        <v>0</v>
      </c>
      <c r="P148" s="194">
        <f t="shared" si="28"/>
        <v>0</v>
      </c>
      <c r="Q148" s="190">
        <f t="shared" si="29"/>
        <v>0</v>
      </c>
      <c r="R148" s="188">
        <f t="shared" si="24"/>
        <v>0</v>
      </c>
      <c r="S148" s="213">
        <v>0</v>
      </c>
      <c r="T148" s="191">
        <f t="shared" si="25"/>
        <v>0</v>
      </c>
      <c r="U148" s="187">
        <f t="shared" si="30"/>
        <v>0</v>
      </c>
      <c r="V148" s="203">
        <f t="shared" si="26"/>
        <v>0</v>
      </c>
      <c r="W148" s="56">
        <f t="shared" si="31"/>
        <v>0</v>
      </c>
      <c r="X148" s="207">
        <v>0</v>
      </c>
      <c r="Y148" s="189">
        <v>0</v>
      </c>
      <c r="Z148" s="189">
        <f t="shared" si="27"/>
        <v>0</v>
      </c>
    </row>
    <row r="149" spans="1:26" x14ac:dyDescent="0.35">
      <c r="A149" s="176">
        <v>181</v>
      </c>
      <c r="B149" s="177"/>
      <c r="C149" s="178"/>
      <c r="D149" s="178"/>
      <c r="E149" s="178"/>
      <c r="F149" s="179"/>
      <c r="G149" s="179"/>
      <c r="H149" s="206"/>
      <c r="I149" s="179"/>
      <c r="J149" s="179"/>
      <c r="K149" s="179"/>
      <c r="L149" s="202">
        <v>0</v>
      </c>
      <c r="M149" s="200">
        <v>0</v>
      </c>
      <c r="N149" s="24">
        <f t="shared" si="23"/>
        <v>0</v>
      </c>
      <c r="O149" s="196">
        <f>IFERROR(IF(($N$4-VLOOKUP(REGISTRO_MAESTRO_m3!X149,DISTRIBUCION_CONTENEDORES!$A$3:$D$530,2) ) &lt; 0,0,($N$4-VLOOKUP(X149,DISTRIBUCION_CONTENEDORES!$A$3:$D$530,2) ) * (M149/VLOOKUP(X149,DISTRIBUCION_CONTENEDORES!$A$3:$D$530,2))),0) *$N$5</f>
        <v>0</v>
      </c>
      <c r="P149" s="194">
        <f t="shared" si="28"/>
        <v>0</v>
      </c>
      <c r="Q149" s="190">
        <f t="shared" si="29"/>
        <v>0</v>
      </c>
      <c r="R149" s="188">
        <f t="shared" si="24"/>
        <v>0</v>
      </c>
      <c r="S149" s="213">
        <v>0</v>
      </c>
      <c r="T149" s="191">
        <f t="shared" si="25"/>
        <v>0</v>
      </c>
      <c r="U149" s="187">
        <f t="shared" si="30"/>
        <v>0</v>
      </c>
      <c r="V149" s="203">
        <f t="shared" si="26"/>
        <v>0</v>
      </c>
      <c r="W149" s="56">
        <f t="shared" si="31"/>
        <v>0</v>
      </c>
      <c r="X149" s="207">
        <v>0</v>
      </c>
      <c r="Y149" s="189">
        <v>0</v>
      </c>
      <c r="Z149" s="189">
        <f t="shared" si="27"/>
        <v>0</v>
      </c>
    </row>
    <row r="150" spans="1:26" x14ac:dyDescent="0.35">
      <c r="A150" s="176">
        <v>182</v>
      </c>
      <c r="B150" s="177"/>
      <c r="C150" s="178"/>
      <c r="D150" s="178"/>
      <c r="E150" s="178"/>
      <c r="F150" s="179"/>
      <c r="G150" s="179"/>
      <c r="H150" s="206"/>
      <c r="I150" s="179"/>
      <c r="J150" s="179"/>
      <c r="K150" s="179"/>
      <c r="L150" s="202">
        <v>0</v>
      </c>
      <c r="M150" s="200">
        <v>0</v>
      </c>
      <c r="N150" s="24">
        <f t="shared" si="23"/>
        <v>0</v>
      </c>
      <c r="O150" s="196">
        <f>IFERROR(IF(($N$4-VLOOKUP(REGISTRO_MAESTRO_m3!X150,DISTRIBUCION_CONTENEDORES!$A$3:$D$530,2) ) &lt; 0,0,($N$4-VLOOKUP(X150,DISTRIBUCION_CONTENEDORES!$A$3:$D$530,2) ) * (M150/VLOOKUP(X150,DISTRIBUCION_CONTENEDORES!$A$3:$D$530,2))),0) *$N$5</f>
        <v>0</v>
      </c>
      <c r="P150" s="194">
        <f t="shared" si="28"/>
        <v>0</v>
      </c>
      <c r="Q150" s="190">
        <f t="shared" si="29"/>
        <v>0</v>
      </c>
      <c r="R150" s="188">
        <f t="shared" si="24"/>
        <v>0</v>
      </c>
      <c r="S150" s="213">
        <v>0</v>
      </c>
      <c r="T150" s="191">
        <f t="shared" si="25"/>
        <v>0</v>
      </c>
      <c r="U150" s="187">
        <f t="shared" si="30"/>
        <v>0</v>
      </c>
      <c r="V150" s="203">
        <f t="shared" si="26"/>
        <v>0</v>
      </c>
      <c r="W150" s="56">
        <f t="shared" si="31"/>
        <v>0</v>
      </c>
      <c r="X150" s="207">
        <v>0</v>
      </c>
      <c r="Y150" s="189">
        <v>0</v>
      </c>
      <c r="Z150" s="189">
        <f t="shared" si="27"/>
        <v>0</v>
      </c>
    </row>
    <row r="151" spans="1:26" x14ac:dyDescent="0.35">
      <c r="A151" s="176">
        <v>183</v>
      </c>
      <c r="B151" s="177"/>
      <c r="C151" s="178"/>
      <c r="D151" s="178"/>
      <c r="E151" s="178"/>
      <c r="F151" s="179"/>
      <c r="G151" s="179"/>
      <c r="H151" s="206"/>
      <c r="I151" s="179"/>
      <c r="J151" s="179"/>
      <c r="K151" s="179"/>
      <c r="L151" s="202">
        <v>0</v>
      </c>
      <c r="M151" s="200">
        <v>0</v>
      </c>
      <c r="N151" s="24">
        <f t="shared" si="23"/>
        <v>0</v>
      </c>
      <c r="O151" s="196">
        <f>IFERROR(IF(($N$4-VLOOKUP(REGISTRO_MAESTRO_m3!X151,DISTRIBUCION_CONTENEDORES!$A$3:$D$530,2) ) &lt; 0,0,($N$4-VLOOKUP(X151,DISTRIBUCION_CONTENEDORES!$A$3:$D$530,2) ) * (M151/VLOOKUP(X151,DISTRIBUCION_CONTENEDORES!$A$3:$D$530,2))),0) *$N$5</f>
        <v>0</v>
      </c>
      <c r="P151" s="194">
        <f t="shared" si="28"/>
        <v>0</v>
      </c>
      <c r="Q151" s="190">
        <f t="shared" si="29"/>
        <v>0</v>
      </c>
      <c r="R151" s="188">
        <f t="shared" si="24"/>
        <v>0</v>
      </c>
      <c r="S151" s="213">
        <v>0</v>
      </c>
      <c r="T151" s="191">
        <f t="shared" si="25"/>
        <v>0</v>
      </c>
      <c r="U151" s="187">
        <f t="shared" si="30"/>
        <v>0</v>
      </c>
      <c r="V151" s="203">
        <f t="shared" si="26"/>
        <v>0</v>
      </c>
      <c r="W151" s="56">
        <f t="shared" si="31"/>
        <v>0</v>
      </c>
      <c r="X151" s="207">
        <v>0</v>
      </c>
      <c r="Y151" s="189">
        <v>0</v>
      </c>
      <c r="Z151" s="189">
        <f t="shared" si="27"/>
        <v>0</v>
      </c>
    </row>
    <row r="152" spans="1:26" x14ac:dyDescent="0.35">
      <c r="A152" s="176">
        <v>184</v>
      </c>
      <c r="B152" s="177"/>
      <c r="C152" s="178"/>
      <c r="D152" s="178"/>
      <c r="E152" s="178"/>
      <c r="F152" s="179"/>
      <c r="G152" s="179"/>
      <c r="H152" s="206"/>
      <c r="I152" s="179"/>
      <c r="J152" s="179"/>
      <c r="K152" s="179"/>
      <c r="L152" s="202">
        <v>0</v>
      </c>
      <c r="M152" s="200">
        <v>0</v>
      </c>
      <c r="N152" s="24">
        <f t="shared" si="23"/>
        <v>0</v>
      </c>
      <c r="O152" s="196">
        <f>IFERROR(IF(($N$4-VLOOKUP(REGISTRO_MAESTRO_m3!X152,DISTRIBUCION_CONTENEDORES!$A$3:$D$530,2) ) &lt; 0,0,($N$4-VLOOKUP(X152,DISTRIBUCION_CONTENEDORES!$A$3:$D$530,2) ) * (M152/VLOOKUP(X152,DISTRIBUCION_CONTENEDORES!$A$3:$D$530,2))),0) *$N$5</f>
        <v>0</v>
      </c>
      <c r="P152" s="194">
        <f t="shared" si="28"/>
        <v>0</v>
      </c>
      <c r="Q152" s="190">
        <f t="shared" si="29"/>
        <v>0</v>
      </c>
      <c r="R152" s="188">
        <f t="shared" si="24"/>
        <v>0</v>
      </c>
      <c r="S152" s="213">
        <v>0</v>
      </c>
      <c r="T152" s="191">
        <f t="shared" si="25"/>
        <v>0</v>
      </c>
      <c r="U152" s="187">
        <f t="shared" si="30"/>
        <v>0</v>
      </c>
      <c r="V152" s="203">
        <f t="shared" si="26"/>
        <v>0</v>
      </c>
      <c r="W152" s="56">
        <f t="shared" si="31"/>
        <v>0</v>
      </c>
      <c r="X152" s="207">
        <v>0</v>
      </c>
      <c r="Y152" s="189">
        <v>0</v>
      </c>
      <c r="Z152" s="189">
        <f t="shared" si="27"/>
        <v>0</v>
      </c>
    </row>
    <row r="153" spans="1:26" x14ac:dyDescent="0.35">
      <c r="A153" s="176">
        <v>185</v>
      </c>
      <c r="B153" s="177"/>
      <c r="C153" s="178"/>
      <c r="D153" s="178"/>
      <c r="E153" s="178"/>
      <c r="F153" s="179"/>
      <c r="G153" s="179"/>
      <c r="H153" s="206"/>
      <c r="I153" s="179"/>
      <c r="J153" s="179"/>
      <c r="K153" s="179"/>
      <c r="L153" s="202">
        <v>0</v>
      </c>
      <c r="M153" s="200">
        <v>0</v>
      </c>
      <c r="N153" s="24">
        <f t="shared" si="23"/>
        <v>0</v>
      </c>
      <c r="O153" s="196">
        <f>IFERROR(IF(($N$4-VLOOKUP(REGISTRO_MAESTRO_m3!X153,DISTRIBUCION_CONTENEDORES!$A$3:$D$530,2) ) &lt; 0,0,($N$4-VLOOKUP(X153,DISTRIBUCION_CONTENEDORES!$A$3:$D$530,2) ) * (M153/VLOOKUP(X153,DISTRIBUCION_CONTENEDORES!$A$3:$D$530,2))),0) *$N$5</f>
        <v>0</v>
      </c>
      <c r="P153" s="194">
        <f t="shared" si="28"/>
        <v>0</v>
      </c>
      <c r="Q153" s="190">
        <f t="shared" si="29"/>
        <v>0</v>
      </c>
      <c r="R153" s="188">
        <f t="shared" si="24"/>
        <v>0</v>
      </c>
      <c r="S153" s="213">
        <v>0</v>
      </c>
      <c r="T153" s="191">
        <f t="shared" si="25"/>
        <v>0</v>
      </c>
      <c r="U153" s="187">
        <f t="shared" si="30"/>
        <v>0</v>
      </c>
      <c r="V153" s="203">
        <f t="shared" si="26"/>
        <v>0</v>
      </c>
      <c r="W153" s="56">
        <f t="shared" si="31"/>
        <v>0</v>
      </c>
      <c r="X153" s="207">
        <v>0</v>
      </c>
      <c r="Y153" s="189">
        <v>0</v>
      </c>
      <c r="Z153" s="189">
        <f t="shared" si="27"/>
        <v>0</v>
      </c>
    </row>
    <row r="154" spans="1:26" x14ac:dyDescent="0.35">
      <c r="A154" s="176">
        <v>186</v>
      </c>
      <c r="B154" s="177"/>
      <c r="C154" s="178"/>
      <c r="D154" s="178"/>
      <c r="E154" s="178"/>
      <c r="F154" s="179"/>
      <c r="G154" s="179"/>
      <c r="H154" s="206"/>
      <c r="I154" s="179"/>
      <c r="J154" s="179"/>
      <c r="K154" s="179"/>
      <c r="L154" s="202">
        <v>0</v>
      </c>
      <c r="M154" s="200">
        <v>0</v>
      </c>
      <c r="N154" s="24">
        <f t="shared" si="23"/>
        <v>0</v>
      </c>
      <c r="O154" s="196">
        <f>IFERROR(IF(($N$4-VLOOKUP(REGISTRO_MAESTRO_m3!X154,DISTRIBUCION_CONTENEDORES!$A$3:$D$530,2) ) &lt; 0,0,($N$4-VLOOKUP(X154,DISTRIBUCION_CONTENEDORES!$A$3:$D$530,2) ) * (M154/VLOOKUP(X154,DISTRIBUCION_CONTENEDORES!$A$3:$D$530,2))),0) *$N$5</f>
        <v>0</v>
      </c>
      <c r="P154" s="194">
        <f t="shared" si="28"/>
        <v>0</v>
      </c>
      <c r="Q154" s="190">
        <f t="shared" si="29"/>
        <v>0</v>
      </c>
      <c r="R154" s="188">
        <f t="shared" si="24"/>
        <v>0</v>
      </c>
      <c r="S154" s="213">
        <v>0</v>
      </c>
      <c r="T154" s="191">
        <f t="shared" si="25"/>
        <v>0</v>
      </c>
      <c r="U154" s="187">
        <f t="shared" si="30"/>
        <v>0</v>
      </c>
      <c r="V154" s="203">
        <f t="shared" si="26"/>
        <v>0</v>
      </c>
      <c r="W154" s="56">
        <f t="shared" si="31"/>
        <v>0</v>
      </c>
      <c r="X154" s="207">
        <v>0</v>
      </c>
      <c r="Y154" s="189">
        <v>0</v>
      </c>
      <c r="Z154" s="189">
        <f t="shared" si="27"/>
        <v>0</v>
      </c>
    </row>
    <row r="155" spans="1:26" x14ac:dyDescent="0.35">
      <c r="A155" s="176">
        <v>187</v>
      </c>
      <c r="B155" s="177"/>
      <c r="C155" s="178"/>
      <c r="D155" s="178"/>
      <c r="E155" s="178"/>
      <c r="F155" s="179"/>
      <c r="G155" s="179"/>
      <c r="H155" s="206"/>
      <c r="I155" s="179"/>
      <c r="J155" s="179"/>
      <c r="K155" s="179"/>
      <c r="L155" s="202">
        <v>0</v>
      </c>
      <c r="M155" s="200">
        <v>0</v>
      </c>
      <c r="N155" s="24">
        <f t="shared" si="23"/>
        <v>0</v>
      </c>
      <c r="O155" s="196">
        <f>IFERROR(IF(($N$4-VLOOKUP(REGISTRO_MAESTRO_m3!X155,DISTRIBUCION_CONTENEDORES!$A$3:$D$530,2) ) &lt; 0,0,($N$4-VLOOKUP(X155,DISTRIBUCION_CONTENEDORES!$A$3:$D$530,2) ) * (M155/VLOOKUP(X155,DISTRIBUCION_CONTENEDORES!$A$3:$D$530,2))),0) *$N$5</f>
        <v>0</v>
      </c>
      <c r="P155" s="194">
        <f t="shared" si="28"/>
        <v>0</v>
      </c>
      <c r="Q155" s="190">
        <f t="shared" si="29"/>
        <v>0</v>
      </c>
      <c r="R155" s="188">
        <f t="shared" si="24"/>
        <v>0</v>
      </c>
      <c r="S155" s="213">
        <v>0</v>
      </c>
      <c r="T155" s="191">
        <f t="shared" si="25"/>
        <v>0</v>
      </c>
      <c r="U155" s="187">
        <f t="shared" si="30"/>
        <v>0</v>
      </c>
      <c r="V155" s="203">
        <f t="shared" si="26"/>
        <v>0</v>
      </c>
      <c r="W155" s="56">
        <f t="shared" si="31"/>
        <v>0</v>
      </c>
      <c r="X155" s="207">
        <v>0</v>
      </c>
      <c r="Y155" s="189">
        <v>0</v>
      </c>
      <c r="Z155" s="189">
        <f t="shared" si="27"/>
        <v>0</v>
      </c>
    </row>
    <row r="156" spans="1:26" x14ac:dyDescent="0.35">
      <c r="A156" s="176">
        <v>188</v>
      </c>
      <c r="B156" s="177"/>
      <c r="C156" s="178"/>
      <c r="D156" s="178"/>
      <c r="E156" s="178"/>
      <c r="F156" s="179"/>
      <c r="G156" s="179"/>
      <c r="H156" s="206"/>
      <c r="I156" s="179"/>
      <c r="J156" s="179"/>
      <c r="K156" s="179"/>
      <c r="L156" s="202">
        <v>0</v>
      </c>
      <c r="M156" s="200">
        <v>0</v>
      </c>
      <c r="N156" s="24">
        <f t="shared" si="23"/>
        <v>0</v>
      </c>
      <c r="O156" s="196">
        <f>IFERROR(IF(($N$4-VLOOKUP(REGISTRO_MAESTRO_m3!X156,DISTRIBUCION_CONTENEDORES!$A$3:$D$530,2) ) &lt; 0,0,($N$4-VLOOKUP(X156,DISTRIBUCION_CONTENEDORES!$A$3:$D$530,2) ) * (M156/VLOOKUP(X156,DISTRIBUCION_CONTENEDORES!$A$3:$D$530,2))),0) *$N$5</f>
        <v>0</v>
      </c>
      <c r="P156" s="194">
        <f t="shared" si="28"/>
        <v>0</v>
      </c>
      <c r="Q156" s="190">
        <f t="shared" si="29"/>
        <v>0</v>
      </c>
      <c r="R156" s="188">
        <f t="shared" si="24"/>
        <v>0</v>
      </c>
      <c r="S156" s="213">
        <v>0</v>
      </c>
      <c r="T156" s="191">
        <f t="shared" si="25"/>
        <v>0</v>
      </c>
      <c r="U156" s="187">
        <f t="shared" si="30"/>
        <v>0</v>
      </c>
      <c r="V156" s="203">
        <f t="shared" si="26"/>
        <v>0</v>
      </c>
      <c r="W156" s="56">
        <f t="shared" si="31"/>
        <v>0</v>
      </c>
      <c r="X156" s="207">
        <v>0</v>
      </c>
      <c r="Y156" s="189">
        <v>0</v>
      </c>
      <c r="Z156" s="189">
        <f t="shared" si="27"/>
        <v>0</v>
      </c>
    </row>
    <row r="157" spans="1:26" x14ac:dyDescent="0.35">
      <c r="A157" s="176">
        <v>189</v>
      </c>
      <c r="B157" s="177"/>
      <c r="C157" s="178"/>
      <c r="D157" s="178"/>
      <c r="E157" s="178"/>
      <c r="F157" s="179"/>
      <c r="G157" s="179"/>
      <c r="H157" s="206"/>
      <c r="I157" s="179"/>
      <c r="J157" s="179"/>
      <c r="K157" s="179"/>
      <c r="L157" s="202">
        <v>0</v>
      </c>
      <c r="M157" s="200">
        <v>0</v>
      </c>
      <c r="N157" s="24">
        <f t="shared" si="23"/>
        <v>0</v>
      </c>
      <c r="O157" s="196">
        <f>IFERROR(IF(($N$4-VLOOKUP(REGISTRO_MAESTRO_m3!X157,DISTRIBUCION_CONTENEDORES!$A$3:$D$530,2) ) &lt; 0,0,($N$4-VLOOKUP(X157,DISTRIBUCION_CONTENEDORES!$A$3:$D$530,2) ) * (M157/VLOOKUP(X157,DISTRIBUCION_CONTENEDORES!$A$3:$D$530,2))),0) *$N$5</f>
        <v>0</v>
      </c>
      <c r="P157" s="194">
        <f t="shared" si="28"/>
        <v>0</v>
      </c>
      <c r="Q157" s="190">
        <f t="shared" si="29"/>
        <v>0</v>
      </c>
      <c r="R157" s="188">
        <f t="shared" si="24"/>
        <v>0</v>
      </c>
      <c r="S157" s="213">
        <v>0</v>
      </c>
      <c r="T157" s="191">
        <f t="shared" si="25"/>
        <v>0</v>
      </c>
      <c r="U157" s="187">
        <f t="shared" si="30"/>
        <v>0</v>
      </c>
      <c r="V157" s="203">
        <f t="shared" si="26"/>
        <v>0</v>
      </c>
      <c r="W157" s="56">
        <f t="shared" si="31"/>
        <v>0</v>
      </c>
      <c r="X157" s="207">
        <v>0</v>
      </c>
      <c r="Y157" s="189">
        <v>0</v>
      </c>
      <c r="Z157" s="189">
        <f t="shared" si="27"/>
        <v>0</v>
      </c>
    </row>
    <row r="158" spans="1:26" x14ac:dyDescent="0.35">
      <c r="A158" s="176">
        <v>190</v>
      </c>
      <c r="B158" s="177"/>
      <c r="C158" s="178"/>
      <c r="D158" s="178"/>
      <c r="E158" s="178"/>
      <c r="F158" s="179"/>
      <c r="G158" s="179"/>
      <c r="H158" s="206"/>
      <c r="I158" s="179"/>
      <c r="J158" s="179"/>
      <c r="K158" s="179"/>
      <c r="L158" s="202">
        <v>0</v>
      </c>
      <c r="M158" s="200">
        <v>0</v>
      </c>
      <c r="N158" s="24">
        <f t="shared" si="23"/>
        <v>0</v>
      </c>
      <c r="O158" s="196">
        <f>IFERROR(IF(($N$4-VLOOKUP(REGISTRO_MAESTRO_m3!X158,DISTRIBUCION_CONTENEDORES!$A$3:$D$530,2) ) &lt; 0,0,($N$4-VLOOKUP(X158,DISTRIBUCION_CONTENEDORES!$A$3:$D$530,2) ) * (M158/VLOOKUP(X158,DISTRIBUCION_CONTENEDORES!$A$3:$D$530,2))),0) *$N$5</f>
        <v>0</v>
      </c>
      <c r="P158" s="194">
        <f t="shared" si="28"/>
        <v>0</v>
      </c>
      <c r="Q158" s="190">
        <f t="shared" si="29"/>
        <v>0</v>
      </c>
      <c r="R158" s="188">
        <f t="shared" si="24"/>
        <v>0</v>
      </c>
      <c r="S158" s="213">
        <v>0</v>
      </c>
      <c r="T158" s="191">
        <f t="shared" si="25"/>
        <v>0</v>
      </c>
      <c r="U158" s="187">
        <f t="shared" si="30"/>
        <v>0</v>
      </c>
      <c r="V158" s="203">
        <f t="shared" si="26"/>
        <v>0</v>
      </c>
      <c r="W158" s="56">
        <f t="shared" si="31"/>
        <v>0</v>
      </c>
      <c r="X158" s="207">
        <v>0</v>
      </c>
      <c r="Y158" s="189">
        <v>0</v>
      </c>
      <c r="Z158" s="189">
        <f t="shared" si="27"/>
        <v>0</v>
      </c>
    </row>
    <row r="159" spans="1:26" x14ac:dyDescent="0.35">
      <c r="A159" s="176">
        <v>191</v>
      </c>
      <c r="B159" s="177"/>
      <c r="C159" s="178"/>
      <c r="D159" s="178"/>
      <c r="E159" s="178"/>
      <c r="F159" s="179"/>
      <c r="G159" s="179"/>
      <c r="H159" s="206"/>
      <c r="I159" s="179"/>
      <c r="J159" s="179"/>
      <c r="K159" s="179"/>
      <c r="L159" s="202">
        <v>0</v>
      </c>
      <c r="M159" s="200">
        <v>0</v>
      </c>
      <c r="N159" s="24">
        <f t="shared" si="23"/>
        <v>0</v>
      </c>
      <c r="O159" s="196">
        <f>IFERROR(IF(($N$4-VLOOKUP(REGISTRO_MAESTRO_m3!X159,DISTRIBUCION_CONTENEDORES!$A$3:$D$530,2) ) &lt; 0,0,($N$4-VLOOKUP(X159,DISTRIBUCION_CONTENEDORES!$A$3:$D$530,2) ) * (M159/VLOOKUP(X159,DISTRIBUCION_CONTENEDORES!$A$3:$D$530,2))),0) *$N$5</f>
        <v>0</v>
      </c>
      <c r="P159" s="194">
        <f t="shared" si="28"/>
        <v>0</v>
      </c>
      <c r="Q159" s="190">
        <f t="shared" si="29"/>
        <v>0</v>
      </c>
      <c r="R159" s="188">
        <f t="shared" si="24"/>
        <v>0</v>
      </c>
      <c r="S159" s="213">
        <v>0</v>
      </c>
      <c r="T159" s="191">
        <f t="shared" si="25"/>
        <v>0</v>
      </c>
      <c r="U159" s="187">
        <f t="shared" si="30"/>
        <v>0</v>
      </c>
      <c r="V159" s="203">
        <f t="shared" si="26"/>
        <v>0</v>
      </c>
      <c r="W159" s="56">
        <f t="shared" si="31"/>
        <v>0</v>
      </c>
      <c r="X159" s="207">
        <v>0</v>
      </c>
      <c r="Y159" s="189">
        <v>0</v>
      </c>
      <c r="Z159" s="189">
        <f t="shared" si="27"/>
        <v>0</v>
      </c>
    </row>
    <row r="160" spans="1:26" x14ac:dyDescent="0.35">
      <c r="A160" s="176">
        <v>192</v>
      </c>
      <c r="B160" s="177"/>
      <c r="C160" s="178"/>
      <c r="D160" s="178"/>
      <c r="E160" s="178"/>
      <c r="F160" s="179"/>
      <c r="G160" s="179"/>
      <c r="H160" s="206"/>
      <c r="I160" s="179"/>
      <c r="J160" s="179"/>
      <c r="K160" s="179"/>
      <c r="L160" s="202">
        <v>0</v>
      </c>
      <c r="M160" s="200">
        <v>0</v>
      </c>
      <c r="N160" s="24">
        <f t="shared" si="23"/>
        <v>0</v>
      </c>
      <c r="O160" s="196">
        <f>IFERROR(IF(($N$4-VLOOKUP(REGISTRO_MAESTRO_m3!X160,DISTRIBUCION_CONTENEDORES!$A$3:$D$530,2) ) &lt; 0,0,($N$4-VLOOKUP(X160,DISTRIBUCION_CONTENEDORES!$A$3:$D$530,2) ) * (M160/VLOOKUP(X160,DISTRIBUCION_CONTENEDORES!$A$3:$D$530,2))),0) *$N$5</f>
        <v>0</v>
      </c>
      <c r="P160" s="194">
        <f t="shared" si="28"/>
        <v>0</v>
      </c>
      <c r="Q160" s="190">
        <f t="shared" si="29"/>
        <v>0</v>
      </c>
      <c r="R160" s="188">
        <f t="shared" si="24"/>
        <v>0</v>
      </c>
      <c r="S160" s="213">
        <v>0</v>
      </c>
      <c r="T160" s="191">
        <f t="shared" si="25"/>
        <v>0</v>
      </c>
      <c r="U160" s="187">
        <f t="shared" si="30"/>
        <v>0</v>
      </c>
      <c r="V160" s="203">
        <f t="shared" si="26"/>
        <v>0</v>
      </c>
      <c r="W160" s="56">
        <f t="shared" si="31"/>
        <v>0</v>
      </c>
      <c r="X160" s="207">
        <v>0</v>
      </c>
      <c r="Y160" s="189">
        <v>0</v>
      </c>
      <c r="Z160" s="189">
        <f t="shared" si="27"/>
        <v>0</v>
      </c>
    </row>
    <row r="161" spans="1:26" x14ac:dyDescent="0.35">
      <c r="A161" s="176">
        <v>193</v>
      </c>
      <c r="B161" s="177"/>
      <c r="C161" s="178"/>
      <c r="D161" s="178"/>
      <c r="E161" s="178"/>
      <c r="F161" s="179"/>
      <c r="G161" s="179"/>
      <c r="H161" s="206"/>
      <c r="I161" s="179"/>
      <c r="J161" s="179"/>
      <c r="K161" s="179"/>
      <c r="L161" s="202">
        <v>0</v>
      </c>
      <c r="M161" s="200">
        <v>0</v>
      </c>
      <c r="N161" s="24">
        <f t="shared" si="23"/>
        <v>0</v>
      </c>
      <c r="O161" s="196">
        <f>IFERROR(IF(($N$4-VLOOKUP(REGISTRO_MAESTRO_m3!X161,DISTRIBUCION_CONTENEDORES!$A$3:$D$530,2) ) &lt; 0,0,($N$4-VLOOKUP(X161,DISTRIBUCION_CONTENEDORES!$A$3:$D$530,2) ) * (M161/VLOOKUP(X161,DISTRIBUCION_CONTENEDORES!$A$3:$D$530,2))),0) *$N$5</f>
        <v>0</v>
      </c>
      <c r="P161" s="194">
        <f t="shared" si="28"/>
        <v>0</v>
      </c>
      <c r="Q161" s="190">
        <f t="shared" si="29"/>
        <v>0</v>
      </c>
      <c r="R161" s="188">
        <f t="shared" si="24"/>
        <v>0</v>
      </c>
      <c r="S161" s="213">
        <v>0</v>
      </c>
      <c r="T161" s="191">
        <f t="shared" si="25"/>
        <v>0</v>
      </c>
      <c r="U161" s="187">
        <f t="shared" si="30"/>
        <v>0</v>
      </c>
      <c r="V161" s="203">
        <f t="shared" si="26"/>
        <v>0</v>
      </c>
      <c r="W161" s="56">
        <f t="shared" si="31"/>
        <v>0</v>
      </c>
      <c r="X161" s="207">
        <v>0</v>
      </c>
      <c r="Y161" s="189">
        <v>0</v>
      </c>
      <c r="Z161" s="189">
        <f t="shared" si="27"/>
        <v>0</v>
      </c>
    </row>
    <row r="162" spans="1:26" x14ac:dyDescent="0.35">
      <c r="A162" s="176">
        <v>194</v>
      </c>
      <c r="B162" s="177"/>
      <c r="C162" s="178"/>
      <c r="D162" s="178"/>
      <c r="E162" s="178"/>
      <c r="F162" s="179"/>
      <c r="G162" s="179"/>
      <c r="H162" s="206"/>
      <c r="I162" s="179"/>
      <c r="J162" s="179"/>
      <c r="K162" s="179"/>
      <c r="L162" s="202">
        <v>0</v>
      </c>
      <c r="M162" s="200">
        <v>0</v>
      </c>
      <c r="N162" s="24">
        <f t="shared" si="23"/>
        <v>0</v>
      </c>
      <c r="O162" s="196">
        <f>IFERROR(IF(($N$4-VLOOKUP(REGISTRO_MAESTRO_m3!X162,DISTRIBUCION_CONTENEDORES!$A$3:$D$530,2) ) &lt; 0,0,($N$4-VLOOKUP(X162,DISTRIBUCION_CONTENEDORES!$A$3:$D$530,2) ) * (M162/VLOOKUP(X162,DISTRIBUCION_CONTENEDORES!$A$3:$D$530,2))),0) *$N$5</f>
        <v>0</v>
      </c>
      <c r="P162" s="194">
        <f t="shared" si="28"/>
        <v>0</v>
      </c>
      <c r="Q162" s="190">
        <f t="shared" si="29"/>
        <v>0</v>
      </c>
      <c r="R162" s="188">
        <f t="shared" si="24"/>
        <v>0</v>
      </c>
      <c r="S162" s="213">
        <v>0</v>
      </c>
      <c r="T162" s="191">
        <f t="shared" si="25"/>
        <v>0</v>
      </c>
      <c r="U162" s="187">
        <f t="shared" si="30"/>
        <v>0</v>
      </c>
      <c r="V162" s="203">
        <f t="shared" si="26"/>
        <v>0</v>
      </c>
      <c r="W162" s="56">
        <f t="shared" si="31"/>
        <v>0</v>
      </c>
      <c r="X162" s="207">
        <v>0</v>
      </c>
      <c r="Y162" s="189">
        <v>0</v>
      </c>
      <c r="Z162" s="189">
        <f t="shared" si="27"/>
        <v>0</v>
      </c>
    </row>
    <row r="163" spans="1:26" x14ac:dyDescent="0.35">
      <c r="A163" s="176">
        <v>195</v>
      </c>
      <c r="B163" s="177"/>
      <c r="C163" s="178"/>
      <c r="D163" s="178"/>
      <c r="E163" s="178"/>
      <c r="F163" s="179"/>
      <c r="G163" s="179"/>
      <c r="H163" s="206"/>
      <c r="I163" s="179"/>
      <c r="J163" s="179"/>
      <c r="K163" s="179"/>
      <c r="L163" s="202">
        <v>0</v>
      </c>
      <c r="M163" s="200">
        <v>0</v>
      </c>
      <c r="N163" s="24">
        <f t="shared" ref="N163:N226" si="32">PRODUCT(M163,$N$5)</f>
        <v>0</v>
      </c>
      <c r="O163" s="196">
        <f>IFERROR(IF(($N$4-VLOOKUP(REGISTRO_MAESTRO_m3!X163,DISTRIBUCION_CONTENEDORES!$A$3:$D$530,2) ) &lt; 0,0,($N$4-VLOOKUP(X163,DISTRIBUCION_CONTENEDORES!$A$3:$D$530,2) ) * (M163/VLOOKUP(X163,DISTRIBUCION_CONTENEDORES!$A$3:$D$530,2))),0) *$N$5</f>
        <v>0</v>
      </c>
      <c r="P163" s="194">
        <f t="shared" si="28"/>
        <v>0</v>
      </c>
      <c r="Q163" s="190">
        <f t="shared" si="29"/>
        <v>0</v>
      </c>
      <c r="R163" s="188">
        <f t="shared" ref="R163:R226" si="33">IFERROR(S163/$N$5,0)</f>
        <v>0</v>
      </c>
      <c r="S163" s="213">
        <v>0</v>
      </c>
      <c r="T163" s="191">
        <f t="shared" ref="T163:T226" si="34">U163/$N$5</f>
        <v>0</v>
      </c>
      <c r="U163" s="187">
        <f t="shared" si="30"/>
        <v>0</v>
      </c>
      <c r="V163" s="203">
        <f t="shared" ref="V163:V226" si="35">U163/$N$6</f>
        <v>0</v>
      </c>
      <c r="W163" s="56">
        <f t="shared" si="31"/>
        <v>0</v>
      </c>
      <c r="X163" s="207">
        <v>0</v>
      </c>
      <c r="Y163" s="189">
        <v>0</v>
      </c>
      <c r="Z163" s="189">
        <f t="shared" ref="Z163:Z226" si="36">Y163*4.75*668</f>
        <v>0</v>
      </c>
    </row>
    <row r="164" spans="1:26" x14ac:dyDescent="0.35">
      <c r="A164" s="176">
        <v>196</v>
      </c>
      <c r="B164" s="177"/>
      <c r="C164" s="178"/>
      <c r="D164" s="178"/>
      <c r="E164" s="178"/>
      <c r="F164" s="179"/>
      <c r="G164" s="179"/>
      <c r="H164" s="206"/>
      <c r="I164" s="179"/>
      <c r="J164" s="179"/>
      <c r="K164" s="179"/>
      <c r="L164" s="202">
        <v>0</v>
      </c>
      <c r="M164" s="200">
        <v>0</v>
      </c>
      <c r="N164" s="24">
        <f t="shared" si="32"/>
        <v>0</v>
      </c>
      <c r="O164" s="196">
        <f>IFERROR(IF(($N$4-VLOOKUP(REGISTRO_MAESTRO_m3!X164,DISTRIBUCION_CONTENEDORES!$A$3:$D$530,2) ) &lt; 0,0,($N$4-VLOOKUP(X164,DISTRIBUCION_CONTENEDORES!$A$3:$D$530,2) ) * (M164/VLOOKUP(X164,DISTRIBUCION_CONTENEDORES!$A$3:$D$530,2))),0) *$N$5</f>
        <v>0</v>
      </c>
      <c r="P164" s="194">
        <f t="shared" si="28"/>
        <v>0</v>
      </c>
      <c r="Q164" s="190">
        <f t="shared" si="29"/>
        <v>0</v>
      </c>
      <c r="R164" s="188">
        <f t="shared" si="33"/>
        <v>0</v>
      </c>
      <c r="S164" s="213">
        <v>0</v>
      </c>
      <c r="T164" s="191">
        <f t="shared" si="34"/>
        <v>0</v>
      </c>
      <c r="U164" s="187">
        <f t="shared" si="30"/>
        <v>0</v>
      </c>
      <c r="V164" s="203">
        <f t="shared" si="35"/>
        <v>0</v>
      </c>
      <c r="W164" s="56">
        <f t="shared" si="31"/>
        <v>0</v>
      </c>
      <c r="X164" s="207">
        <v>0</v>
      </c>
      <c r="Y164" s="189">
        <v>0</v>
      </c>
      <c r="Z164" s="189">
        <f t="shared" si="36"/>
        <v>0</v>
      </c>
    </row>
    <row r="165" spans="1:26" x14ac:dyDescent="0.35">
      <c r="A165" s="176">
        <v>197</v>
      </c>
      <c r="B165" s="177"/>
      <c r="C165" s="178"/>
      <c r="D165" s="178"/>
      <c r="E165" s="178"/>
      <c r="F165" s="179"/>
      <c r="G165" s="179"/>
      <c r="H165" s="206"/>
      <c r="I165" s="179"/>
      <c r="J165" s="179"/>
      <c r="K165" s="179"/>
      <c r="L165" s="202">
        <v>0</v>
      </c>
      <c r="M165" s="200">
        <v>0</v>
      </c>
      <c r="N165" s="24">
        <f t="shared" si="32"/>
        <v>0</v>
      </c>
      <c r="O165" s="196">
        <f>IFERROR(IF(($N$4-VLOOKUP(REGISTRO_MAESTRO_m3!X165,DISTRIBUCION_CONTENEDORES!$A$3:$D$530,2) ) &lt; 0,0,($N$4-VLOOKUP(X165,DISTRIBUCION_CONTENEDORES!$A$3:$D$530,2) ) * (M165/VLOOKUP(X165,DISTRIBUCION_CONTENEDORES!$A$3:$D$530,2))),0) *$N$5</f>
        <v>0</v>
      </c>
      <c r="P165" s="194">
        <f t="shared" si="28"/>
        <v>0</v>
      </c>
      <c r="Q165" s="190">
        <f t="shared" si="29"/>
        <v>0</v>
      </c>
      <c r="R165" s="188">
        <f t="shared" si="33"/>
        <v>0</v>
      </c>
      <c r="S165" s="213">
        <v>0</v>
      </c>
      <c r="T165" s="191">
        <f t="shared" si="34"/>
        <v>0</v>
      </c>
      <c r="U165" s="187">
        <f t="shared" si="30"/>
        <v>0</v>
      </c>
      <c r="V165" s="203">
        <f t="shared" si="35"/>
        <v>0</v>
      </c>
      <c r="W165" s="56">
        <f t="shared" si="31"/>
        <v>0</v>
      </c>
      <c r="X165" s="207">
        <v>0</v>
      </c>
      <c r="Y165" s="189">
        <v>0</v>
      </c>
      <c r="Z165" s="189">
        <f t="shared" si="36"/>
        <v>0</v>
      </c>
    </row>
    <row r="166" spans="1:26" x14ac:dyDescent="0.35">
      <c r="A166" s="176">
        <v>198</v>
      </c>
      <c r="B166" s="177"/>
      <c r="C166" s="178"/>
      <c r="D166" s="178"/>
      <c r="E166" s="178"/>
      <c r="F166" s="179"/>
      <c r="G166" s="179"/>
      <c r="H166" s="206"/>
      <c r="I166" s="179"/>
      <c r="J166" s="179"/>
      <c r="K166" s="179"/>
      <c r="L166" s="202">
        <v>0</v>
      </c>
      <c r="M166" s="200">
        <v>0</v>
      </c>
      <c r="N166" s="24">
        <f t="shared" si="32"/>
        <v>0</v>
      </c>
      <c r="O166" s="196">
        <f>IFERROR(IF(($N$4-VLOOKUP(REGISTRO_MAESTRO_m3!X166,DISTRIBUCION_CONTENEDORES!$A$3:$D$530,2) ) &lt; 0,0,($N$4-VLOOKUP(X166,DISTRIBUCION_CONTENEDORES!$A$3:$D$530,2) ) * (M166/VLOOKUP(X166,DISTRIBUCION_CONTENEDORES!$A$3:$D$530,2))),0) *$N$5</f>
        <v>0</v>
      </c>
      <c r="P166" s="194">
        <f t="shared" si="28"/>
        <v>0</v>
      </c>
      <c r="Q166" s="190">
        <f t="shared" si="29"/>
        <v>0</v>
      </c>
      <c r="R166" s="188">
        <f t="shared" si="33"/>
        <v>0</v>
      </c>
      <c r="S166" s="213">
        <v>0</v>
      </c>
      <c r="T166" s="191">
        <f t="shared" si="34"/>
        <v>0</v>
      </c>
      <c r="U166" s="187">
        <f t="shared" si="30"/>
        <v>0</v>
      </c>
      <c r="V166" s="203">
        <f t="shared" si="35"/>
        <v>0</v>
      </c>
      <c r="W166" s="56">
        <f t="shared" si="31"/>
        <v>0</v>
      </c>
      <c r="X166" s="207">
        <v>0</v>
      </c>
      <c r="Y166" s="189">
        <v>0</v>
      </c>
      <c r="Z166" s="189">
        <f t="shared" si="36"/>
        <v>0</v>
      </c>
    </row>
    <row r="167" spans="1:26" x14ac:dyDescent="0.35">
      <c r="A167" s="176">
        <v>199</v>
      </c>
      <c r="B167" s="177"/>
      <c r="C167" s="178"/>
      <c r="D167" s="178"/>
      <c r="E167" s="178"/>
      <c r="F167" s="179"/>
      <c r="G167" s="179"/>
      <c r="H167" s="206"/>
      <c r="I167" s="179"/>
      <c r="J167" s="179"/>
      <c r="K167" s="179"/>
      <c r="L167" s="202">
        <v>0</v>
      </c>
      <c r="M167" s="200">
        <v>0</v>
      </c>
      <c r="N167" s="24">
        <f t="shared" si="32"/>
        <v>0</v>
      </c>
      <c r="O167" s="196">
        <f>IFERROR(IF(($N$4-VLOOKUP(REGISTRO_MAESTRO_m3!X167,DISTRIBUCION_CONTENEDORES!$A$3:$D$530,2) ) &lt; 0,0,($N$4-VLOOKUP(X167,DISTRIBUCION_CONTENEDORES!$A$3:$D$530,2) ) * (M167/VLOOKUP(X167,DISTRIBUCION_CONTENEDORES!$A$3:$D$530,2))),0) *$N$5</f>
        <v>0</v>
      </c>
      <c r="P167" s="194">
        <f t="shared" si="28"/>
        <v>0</v>
      </c>
      <c r="Q167" s="190">
        <f t="shared" si="29"/>
        <v>0</v>
      </c>
      <c r="R167" s="188">
        <f t="shared" si="33"/>
        <v>0</v>
      </c>
      <c r="S167" s="213">
        <v>0</v>
      </c>
      <c r="T167" s="191">
        <f t="shared" si="34"/>
        <v>0</v>
      </c>
      <c r="U167" s="187">
        <f t="shared" si="30"/>
        <v>0</v>
      </c>
      <c r="V167" s="203">
        <f t="shared" si="35"/>
        <v>0</v>
      </c>
      <c r="W167" s="56">
        <f t="shared" si="31"/>
        <v>0</v>
      </c>
      <c r="X167" s="207">
        <v>0</v>
      </c>
      <c r="Y167" s="189">
        <v>0</v>
      </c>
      <c r="Z167" s="189">
        <f t="shared" si="36"/>
        <v>0</v>
      </c>
    </row>
    <row r="168" spans="1:26" x14ac:dyDescent="0.35">
      <c r="A168" s="176">
        <v>200</v>
      </c>
      <c r="B168" s="177"/>
      <c r="C168" s="178"/>
      <c r="D168" s="178"/>
      <c r="E168" s="178"/>
      <c r="F168" s="179"/>
      <c r="G168" s="179"/>
      <c r="H168" s="206"/>
      <c r="I168" s="179"/>
      <c r="J168" s="179"/>
      <c r="K168" s="179"/>
      <c r="L168" s="202">
        <v>0</v>
      </c>
      <c r="M168" s="200">
        <v>0</v>
      </c>
      <c r="N168" s="24">
        <f t="shared" si="32"/>
        <v>0</v>
      </c>
      <c r="O168" s="196">
        <f>IFERROR(IF(($N$4-VLOOKUP(REGISTRO_MAESTRO_m3!X168,DISTRIBUCION_CONTENEDORES!$A$3:$D$530,2) ) &lt; 0,0,($N$4-VLOOKUP(X168,DISTRIBUCION_CONTENEDORES!$A$3:$D$530,2) ) * (M168/VLOOKUP(X168,DISTRIBUCION_CONTENEDORES!$A$3:$D$530,2))),0) *$N$5</f>
        <v>0</v>
      </c>
      <c r="P168" s="194">
        <f t="shared" si="28"/>
        <v>0</v>
      </c>
      <c r="Q168" s="190">
        <f t="shared" si="29"/>
        <v>0</v>
      </c>
      <c r="R168" s="188">
        <f t="shared" si="33"/>
        <v>0</v>
      </c>
      <c r="S168" s="213">
        <v>0</v>
      </c>
      <c r="T168" s="191">
        <f t="shared" si="34"/>
        <v>0</v>
      </c>
      <c r="U168" s="187">
        <f t="shared" si="30"/>
        <v>0</v>
      </c>
      <c r="V168" s="203">
        <f t="shared" si="35"/>
        <v>0</v>
      </c>
      <c r="W168" s="56">
        <f t="shared" si="31"/>
        <v>0</v>
      </c>
      <c r="X168" s="207">
        <v>0</v>
      </c>
      <c r="Y168" s="189">
        <v>0</v>
      </c>
      <c r="Z168" s="189">
        <f t="shared" si="36"/>
        <v>0</v>
      </c>
    </row>
    <row r="169" spans="1:26" x14ac:dyDescent="0.35">
      <c r="A169" s="176">
        <v>201</v>
      </c>
      <c r="B169" s="177"/>
      <c r="C169" s="178"/>
      <c r="D169" s="178"/>
      <c r="E169" s="178"/>
      <c r="F169" s="179"/>
      <c r="G169" s="179"/>
      <c r="H169" s="206"/>
      <c r="I169" s="179"/>
      <c r="J169" s="179"/>
      <c r="K169" s="179"/>
      <c r="L169" s="202">
        <v>0</v>
      </c>
      <c r="M169" s="200">
        <v>0</v>
      </c>
      <c r="N169" s="24">
        <f t="shared" si="32"/>
        <v>0</v>
      </c>
      <c r="O169" s="196">
        <f>IFERROR(IF(($N$4-VLOOKUP(REGISTRO_MAESTRO_m3!X169,DISTRIBUCION_CONTENEDORES!$A$3:$D$530,2) ) &lt; 0,0,($N$4-VLOOKUP(X169,DISTRIBUCION_CONTENEDORES!$A$3:$D$530,2) ) * (M169/VLOOKUP(X169,DISTRIBUCION_CONTENEDORES!$A$3:$D$530,2))),0) *$N$5</f>
        <v>0</v>
      </c>
      <c r="P169" s="194">
        <f t="shared" si="28"/>
        <v>0</v>
      </c>
      <c r="Q169" s="190">
        <f t="shared" si="29"/>
        <v>0</v>
      </c>
      <c r="R169" s="188">
        <f t="shared" si="33"/>
        <v>0</v>
      </c>
      <c r="S169" s="213">
        <v>0</v>
      </c>
      <c r="T169" s="191">
        <f t="shared" si="34"/>
        <v>0</v>
      </c>
      <c r="U169" s="187">
        <f t="shared" si="30"/>
        <v>0</v>
      </c>
      <c r="V169" s="203">
        <f t="shared" si="35"/>
        <v>0</v>
      </c>
      <c r="W169" s="56">
        <f t="shared" si="31"/>
        <v>0</v>
      </c>
      <c r="X169" s="207">
        <v>0</v>
      </c>
      <c r="Y169" s="189">
        <v>0</v>
      </c>
      <c r="Z169" s="189">
        <f t="shared" si="36"/>
        <v>0</v>
      </c>
    </row>
    <row r="170" spans="1:26" x14ac:dyDescent="0.35">
      <c r="A170" s="176">
        <v>202</v>
      </c>
      <c r="B170" s="177"/>
      <c r="C170" s="178"/>
      <c r="D170" s="178"/>
      <c r="E170" s="178"/>
      <c r="F170" s="179"/>
      <c r="G170" s="179"/>
      <c r="H170" s="206"/>
      <c r="I170" s="179"/>
      <c r="J170" s="179"/>
      <c r="K170" s="179"/>
      <c r="L170" s="202">
        <v>0</v>
      </c>
      <c r="M170" s="200">
        <v>0</v>
      </c>
      <c r="N170" s="24">
        <f t="shared" si="32"/>
        <v>0</v>
      </c>
      <c r="O170" s="196">
        <f>IFERROR(IF(($N$4-VLOOKUP(REGISTRO_MAESTRO_m3!X170,DISTRIBUCION_CONTENEDORES!$A$3:$D$530,2) ) &lt; 0,0,($N$4-VLOOKUP(X170,DISTRIBUCION_CONTENEDORES!$A$3:$D$530,2) ) * (M170/VLOOKUP(X170,DISTRIBUCION_CONTENEDORES!$A$3:$D$530,2))),0) *$N$5</f>
        <v>0</v>
      </c>
      <c r="P170" s="194">
        <f t="shared" si="28"/>
        <v>0</v>
      </c>
      <c r="Q170" s="190">
        <f t="shared" si="29"/>
        <v>0</v>
      </c>
      <c r="R170" s="188">
        <f t="shared" si="33"/>
        <v>0</v>
      </c>
      <c r="S170" s="213">
        <v>0</v>
      </c>
      <c r="T170" s="191">
        <f t="shared" si="34"/>
        <v>0</v>
      </c>
      <c r="U170" s="187">
        <f t="shared" si="30"/>
        <v>0</v>
      </c>
      <c r="V170" s="203">
        <f t="shared" si="35"/>
        <v>0</v>
      </c>
      <c r="W170" s="56">
        <f t="shared" si="31"/>
        <v>0</v>
      </c>
      <c r="X170" s="207">
        <v>0</v>
      </c>
      <c r="Y170" s="189">
        <v>0</v>
      </c>
      <c r="Z170" s="189">
        <f t="shared" si="36"/>
        <v>0</v>
      </c>
    </row>
    <row r="171" spans="1:26" x14ac:dyDescent="0.35">
      <c r="A171" s="176">
        <v>203</v>
      </c>
      <c r="B171" s="177"/>
      <c r="C171" s="178"/>
      <c r="D171" s="178"/>
      <c r="E171" s="178"/>
      <c r="F171" s="179"/>
      <c r="G171" s="179"/>
      <c r="H171" s="206"/>
      <c r="I171" s="179"/>
      <c r="J171" s="179"/>
      <c r="K171" s="179"/>
      <c r="L171" s="202">
        <v>0</v>
      </c>
      <c r="M171" s="200">
        <v>0</v>
      </c>
      <c r="N171" s="24">
        <f t="shared" si="32"/>
        <v>0</v>
      </c>
      <c r="O171" s="196">
        <f>IFERROR(IF(($N$4-VLOOKUP(REGISTRO_MAESTRO_m3!X171,DISTRIBUCION_CONTENEDORES!$A$3:$D$530,2) ) &lt; 0,0,($N$4-VLOOKUP(X171,DISTRIBUCION_CONTENEDORES!$A$3:$D$530,2) ) * (M171/VLOOKUP(X171,DISTRIBUCION_CONTENEDORES!$A$3:$D$530,2))),0) *$N$5</f>
        <v>0</v>
      </c>
      <c r="P171" s="194">
        <f t="shared" si="28"/>
        <v>0</v>
      </c>
      <c r="Q171" s="190">
        <f t="shared" si="29"/>
        <v>0</v>
      </c>
      <c r="R171" s="188">
        <f t="shared" si="33"/>
        <v>0</v>
      </c>
      <c r="S171" s="213">
        <v>0</v>
      </c>
      <c r="T171" s="191">
        <f t="shared" si="34"/>
        <v>0</v>
      </c>
      <c r="U171" s="187">
        <f t="shared" si="30"/>
        <v>0</v>
      </c>
      <c r="V171" s="203">
        <f t="shared" si="35"/>
        <v>0</v>
      </c>
      <c r="W171" s="56">
        <f t="shared" si="31"/>
        <v>0</v>
      </c>
      <c r="X171" s="207">
        <v>0</v>
      </c>
      <c r="Y171" s="189">
        <v>0</v>
      </c>
      <c r="Z171" s="189">
        <f t="shared" si="36"/>
        <v>0</v>
      </c>
    </row>
    <row r="172" spans="1:26" x14ac:dyDescent="0.35">
      <c r="A172" s="176">
        <v>204</v>
      </c>
      <c r="B172" s="177"/>
      <c r="C172" s="178"/>
      <c r="D172" s="178"/>
      <c r="E172" s="178"/>
      <c r="F172" s="179"/>
      <c r="G172" s="179"/>
      <c r="H172" s="206"/>
      <c r="I172" s="179"/>
      <c r="J172" s="179"/>
      <c r="K172" s="179"/>
      <c r="L172" s="202">
        <v>0</v>
      </c>
      <c r="M172" s="200">
        <v>0</v>
      </c>
      <c r="N172" s="24">
        <f t="shared" si="32"/>
        <v>0</v>
      </c>
      <c r="O172" s="196">
        <f>IFERROR(IF(($N$4-VLOOKUP(REGISTRO_MAESTRO_m3!X172,DISTRIBUCION_CONTENEDORES!$A$3:$D$530,2) ) &lt; 0,0,($N$4-VLOOKUP(X172,DISTRIBUCION_CONTENEDORES!$A$3:$D$530,2) ) * (M172/VLOOKUP(X172,DISTRIBUCION_CONTENEDORES!$A$3:$D$530,2))),0) *$N$5</f>
        <v>0</v>
      </c>
      <c r="P172" s="194">
        <f t="shared" si="28"/>
        <v>0</v>
      </c>
      <c r="Q172" s="190">
        <f t="shared" si="29"/>
        <v>0</v>
      </c>
      <c r="R172" s="188">
        <f t="shared" si="33"/>
        <v>0</v>
      </c>
      <c r="S172" s="213">
        <v>0</v>
      </c>
      <c r="T172" s="191">
        <f t="shared" si="34"/>
        <v>0</v>
      </c>
      <c r="U172" s="187">
        <f t="shared" si="30"/>
        <v>0</v>
      </c>
      <c r="V172" s="203">
        <f t="shared" si="35"/>
        <v>0</v>
      </c>
      <c r="W172" s="56">
        <f t="shared" si="31"/>
        <v>0</v>
      </c>
      <c r="X172" s="207">
        <v>0</v>
      </c>
      <c r="Y172" s="189">
        <v>0</v>
      </c>
      <c r="Z172" s="189">
        <f t="shared" si="36"/>
        <v>0</v>
      </c>
    </row>
    <row r="173" spans="1:26" x14ac:dyDescent="0.35">
      <c r="A173" s="176">
        <v>205</v>
      </c>
      <c r="B173" s="177"/>
      <c r="C173" s="178"/>
      <c r="D173" s="178"/>
      <c r="E173" s="178"/>
      <c r="F173" s="179"/>
      <c r="G173" s="179"/>
      <c r="H173" s="206"/>
      <c r="I173" s="179"/>
      <c r="J173" s="179"/>
      <c r="K173" s="179"/>
      <c r="L173" s="202">
        <v>0</v>
      </c>
      <c r="M173" s="200">
        <v>0</v>
      </c>
      <c r="N173" s="24">
        <f t="shared" si="32"/>
        <v>0</v>
      </c>
      <c r="O173" s="196">
        <f>IFERROR(IF(($N$4-VLOOKUP(REGISTRO_MAESTRO_m3!X173,DISTRIBUCION_CONTENEDORES!$A$3:$D$530,2) ) &lt; 0,0,($N$4-VLOOKUP(X173,DISTRIBUCION_CONTENEDORES!$A$3:$D$530,2) ) * (M173/VLOOKUP(X173,DISTRIBUCION_CONTENEDORES!$A$3:$D$530,2))),0) *$N$5</f>
        <v>0</v>
      </c>
      <c r="P173" s="194">
        <f t="shared" si="28"/>
        <v>0</v>
      </c>
      <c r="Q173" s="190">
        <f t="shared" si="29"/>
        <v>0</v>
      </c>
      <c r="R173" s="188">
        <f t="shared" si="33"/>
        <v>0</v>
      </c>
      <c r="S173" s="213">
        <v>0</v>
      </c>
      <c r="T173" s="191">
        <f t="shared" si="34"/>
        <v>0</v>
      </c>
      <c r="U173" s="187">
        <f t="shared" si="30"/>
        <v>0</v>
      </c>
      <c r="V173" s="203">
        <f t="shared" si="35"/>
        <v>0</v>
      </c>
      <c r="W173" s="56">
        <f t="shared" si="31"/>
        <v>0</v>
      </c>
      <c r="X173" s="207">
        <v>0</v>
      </c>
      <c r="Y173" s="189">
        <v>0</v>
      </c>
      <c r="Z173" s="189">
        <f t="shared" si="36"/>
        <v>0</v>
      </c>
    </row>
    <row r="174" spans="1:26" x14ac:dyDescent="0.35">
      <c r="A174" s="176">
        <v>206</v>
      </c>
      <c r="B174" s="177"/>
      <c r="C174" s="178"/>
      <c r="D174" s="178"/>
      <c r="E174" s="178"/>
      <c r="F174" s="179"/>
      <c r="G174" s="179"/>
      <c r="H174" s="206"/>
      <c r="I174" s="179"/>
      <c r="J174" s="179"/>
      <c r="K174" s="179"/>
      <c r="L174" s="202">
        <v>0</v>
      </c>
      <c r="M174" s="200">
        <v>0</v>
      </c>
      <c r="N174" s="24">
        <f t="shared" si="32"/>
        <v>0</v>
      </c>
      <c r="O174" s="196">
        <f>IFERROR(IF(($N$4-VLOOKUP(REGISTRO_MAESTRO_m3!X174,DISTRIBUCION_CONTENEDORES!$A$3:$D$530,2) ) &lt; 0,0,($N$4-VLOOKUP(X174,DISTRIBUCION_CONTENEDORES!$A$3:$D$530,2) ) * (M174/VLOOKUP(X174,DISTRIBUCION_CONTENEDORES!$A$3:$D$530,2))),0) *$N$5</f>
        <v>0</v>
      </c>
      <c r="P174" s="194">
        <f t="shared" si="28"/>
        <v>0</v>
      </c>
      <c r="Q174" s="190">
        <f t="shared" si="29"/>
        <v>0</v>
      </c>
      <c r="R174" s="188">
        <f t="shared" si="33"/>
        <v>0</v>
      </c>
      <c r="S174" s="213">
        <v>0</v>
      </c>
      <c r="T174" s="191">
        <f t="shared" si="34"/>
        <v>0</v>
      </c>
      <c r="U174" s="187">
        <f t="shared" si="30"/>
        <v>0</v>
      </c>
      <c r="V174" s="203">
        <f t="shared" si="35"/>
        <v>0</v>
      </c>
      <c r="W174" s="56">
        <f t="shared" si="31"/>
        <v>0</v>
      </c>
      <c r="X174" s="207">
        <v>0</v>
      </c>
      <c r="Y174" s="189">
        <v>0</v>
      </c>
      <c r="Z174" s="189">
        <f t="shared" si="36"/>
        <v>0</v>
      </c>
    </row>
    <row r="175" spans="1:26" x14ac:dyDescent="0.35">
      <c r="A175" s="176">
        <v>207</v>
      </c>
      <c r="B175" s="177"/>
      <c r="C175" s="178"/>
      <c r="D175" s="178"/>
      <c r="E175" s="178"/>
      <c r="F175" s="179"/>
      <c r="G175" s="179"/>
      <c r="H175" s="206"/>
      <c r="I175" s="179"/>
      <c r="J175" s="179"/>
      <c r="K175" s="179"/>
      <c r="L175" s="202">
        <v>0</v>
      </c>
      <c r="M175" s="200">
        <v>0</v>
      </c>
      <c r="N175" s="24">
        <f t="shared" si="32"/>
        <v>0</v>
      </c>
      <c r="O175" s="196">
        <f>IFERROR(IF(($N$4-VLOOKUP(REGISTRO_MAESTRO_m3!X175,DISTRIBUCION_CONTENEDORES!$A$3:$D$530,2) ) &lt; 0,0,($N$4-VLOOKUP(X175,DISTRIBUCION_CONTENEDORES!$A$3:$D$530,2) ) * (M175/VLOOKUP(X175,DISTRIBUCION_CONTENEDORES!$A$3:$D$530,2))),0) *$N$5</f>
        <v>0</v>
      </c>
      <c r="P175" s="194">
        <f t="shared" ref="P175:P238" si="37">N175+O175</f>
        <v>0</v>
      </c>
      <c r="Q175" s="190">
        <f t="shared" ref="Q175:Q238" si="38">P175-L175</f>
        <v>0</v>
      </c>
      <c r="R175" s="188">
        <f t="shared" si="33"/>
        <v>0</v>
      </c>
      <c r="S175" s="213">
        <v>0</v>
      </c>
      <c r="T175" s="191">
        <f t="shared" si="34"/>
        <v>0</v>
      </c>
      <c r="U175" s="187">
        <f t="shared" ref="U175:U238" si="39">IF(Q175&lt; 0, 0, Q175-S175)</f>
        <v>0</v>
      </c>
      <c r="V175" s="203">
        <f t="shared" si="35"/>
        <v>0</v>
      </c>
      <c r="W175" s="56">
        <f t="shared" ref="W175:W238" si="40">M175*$N$8</f>
        <v>0</v>
      </c>
      <c r="X175" s="207">
        <v>0</v>
      </c>
      <c r="Y175" s="189">
        <v>0</v>
      </c>
      <c r="Z175" s="189">
        <f t="shared" si="36"/>
        <v>0</v>
      </c>
    </row>
    <row r="176" spans="1:26" x14ac:dyDescent="0.35">
      <c r="A176" s="176">
        <v>208</v>
      </c>
      <c r="B176" s="177"/>
      <c r="C176" s="178"/>
      <c r="D176" s="178"/>
      <c r="E176" s="178"/>
      <c r="F176" s="179"/>
      <c r="G176" s="179"/>
      <c r="H176" s="206"/>
      <c r="I176" s="179"/>
      <c r="J176" s="179"/>
      <c r="K176" s="179"/>
      <c r="L176" s="202">
        <v>0</v>
      </c>
      <c r="M176" s="200">
        <v>0</v>
      </c>
      <c r="N176" s="24">
        <f t="shared" si="32"/>
        <v>0</v>
      </c>
      <c r="O176" s="196">
        <f>IFERROR(IF(($N$4-VLOOKUP(REGISTRO_MAESTRO_m3!X176,DISTRIBUCION_CONTENEDORES!$A$3:$D$530,2) ) &lt; 0,0,($N$4-VLOOKUP(X176,DISTRIBUCION_CONTENEDORES!$A$3:$D$530,2) ) * (M176/VLOOKUP(X176,DISTRIBUCION_CONTENEDORES!$A$3:$D$530,2))),0) *$N$5</f>
        <v>0</v>
      </c>
      <c r="P176" s="194">
        <f t="shared" si="37"/>
        <v>0</v>
      </c>
      <c r="Q176" s="190">
        <f t="shared" si="38"/>
        <v>0</v>
      </c>
      <c r="R176" s="188">
        <f t="shared" si="33"/>
        <v>0</v>
      </c>
      <c r="S176" s="213">
        <v>0</v>
      </c>
      <c r="T176" s="191">
        <f t="shared" si="34"/>
        <v>0</v>
      </c>
      <c r="U176" s="187">
        <f t="shared" si="39"/>
        <v>0</v>
      </c>
      <c r="V176" s="203">
        <f t="shared" si="35"/>
        <v>0</v>
      </c>
      <c r="W176" s="56">
        <f t="shared" si="40"/>
        <v>0</v>
      </c>
      <c r="X176" s="207">
        <v>0</v>
      </c>
      <c r="Y176" s="189">
        <v>0</v>
      </c>
      <c r="Z176" s="189">
        <f t="shared" si="36"/>
        <v>0</v>
      </c>
    </row>
    <row r="177" spans="1:26" x14ac:dyDescent="0.35">
      <c r="A177" s="176">
        <v>209</v>
      </c>
      <c r="B177" s="177"/>
      <c r="C177" s="178"/>
      <c r="D177" s="178"/>
      <c r="E177" s="178"/>
      <c r="F177" s="179"/>
      <c r="G177" s="179"/>
      <c r="H177" s="206"/>
      <c r="I177" s="179"/>
      <c r="J177" s="179"/>
      <c r="K177" s="179"/>
      <c r="L177" s="202">
        <v>0</v>
      </c>
      <c r="M177" s="200">
        <v>0</v>
      </c>
      <c r="N177" s="24">
        <f t="shared" si="32"/>
        <v>0</v>
      </c>
      <c r="O177" s="196">
        <f>IFERROR(IF(($N$4-VLOOKUP(REGISTRO_MAESTRO_m3!X177,DISTRIBUCION_CONTENEDORES!$A$3:$D$530,2) ) &lt; 0,0,($N$4-VLOOKUP(X177,DISTRIBUCION_CONTENEDORES!$A$3:$D$530,2) ) * (M177/VLOOKUP(X177,DISTRIBUCION_CONTENEDORES!$A$3:$D$530,2))),0) *$N$5</f>
        <v>0</v>
      </c>
      <c r="P177" s="194">
        <f t="shared" si="37"/>
        <v>0</v>
      </c>
      <c r="Q177" s="190">
        <f t="shared" si="38"/>
        <v>0</v>
      </c>
      <c r="R177" s="188">
        <f t="shared" si="33"/>
        <v>0</v>
      </c>
      <c r="S177" s="213">
        <v>0</v>
      </c>
      <c r="T177" s="191">
        <f t="shared" si="34"/>
        <v>0</v>
      </c>
      <c r="U177" s="187">
        <f t="shared" si="39"/>
        <v>0</v>
      </c>
      <c r="V177" s="203">
        <f t="shared" si="35"/>
        <v>0</v>
      </c>
      <c r="W177" s="56">
        <f t="shared" si="40"/>
        <v>0</v>
      </c>
      <c r="X177" s="207">
        <v>0</v>
      </c>
      <c r="Y177" s="189">
        <v>0</v>
      </c>
      <c r="Z177" s="189">
        <f t="shared" si="36"/>
        <v>0</v>
      </c>
    </row>
    <row r="178" spans="1:26" x14ac:dyDescent="0.35">
      <c r="A178" s="176">
        <v>210</v>
      </c>
      <c r="B178" s="177"/>
      <c r="C178" s="178"/>
      <c r="D178" s="178"/>
      <c r="E178" s="178"/>
      <c r="F178" s="179"/>
      <c r="G178" s="179"/>
      <c r="H178" s="206"/>
      <c r="I178" s="179"/>
      <c r="J178" s="179"/>
      <c r="K178" s="179"/>
      <c r="L178" s="202">
        <v>0</v>
      </c>
      <c r="M178" s="200">
        <v>0</v>
      </c>
      <c r="N178" s="24">
        <f t="shared" si="32"/>
        <v>0</v>
      </c>
      <c r="O178" s="196">
        <f>IFERROR(IF(($N$4-VLOOKUP(REGISTRO_MAESTRO_m3!X178,DISTRIBUCION_CONTENEDORES!$A$3:$D$530,2) ) &lt; 0,0,($N$4-VLOOKUP(X178,DISTRIBUCION_CONTENEDORES!$A$3:$D$530,2) ) * (M178/VLOOKUP(X178,DISTRIBUCION_CONTENEDORES!$A$3:$D$530,2))),0) *$N$5</f>
        <v>0</v>
      </c>
      <c r="P178" s="194">
        <f t="shared" si="37"/>
        <v>0</v>
      </c>
      <c r="Q178" s="190">
        <f t="shared" si="38"/>
        <v>0</v>
      </c>
      <c r="R178" s="188">
        <f t="shared" si="33"/>
        <v>0</v>
      </c>
      <c r="S178" s="213">
        <v>0</v>
      </c>
      <c r="T178" s="191">
        <f t="shared" si="34"/>
        <v>0</v>
      </c>
      <c r="U178" s="187">
        <f t="shared" si="39"/>
        <v>0</v>
      </c>
      <c r="V178" s="203">
        <f t="shared" si="35"/>
        <v>0</v>
      </c>
      <c r="W178" s="56">
        <f t="shared" si="40"/>
        <v>0</v>
      </c>
      <c r="X178" s="207">
        <v>0</v>
      </c>
      <c r="Y178" s="189">
        <v>0</v>
      </c>
      <c r="Z178" s="189">
        <f t="shared" si="36"/>
        <v>0</v>
      </c>
    </row>
    <row r="179" spans="1:26" x14ac:dyDescent="0.35">
      <c r="A179" s="176">
        <v>211</v>
      </c>
      <c r="B179" s="177"/>
      <c r="C179" s="178"/>
      <c r="D179" s="178"/>
      <c r="E179" s="178"/>
      <c r="F179" s="179"/>
      <c r="G179" s="179"/>
      <c r="H179" s="206"/>
      <c r="I179" s="179"/>
      <c r="J179" s="179"/>
      <c r="K179" s="179"/>
      <c r="L179" s="202">
        <v>0</v>
      </c>
      <c r="M179" s="200">
        <v>0</v>
      </c>
      <c r="N179" s="24">
        <f t="shared" si="32"/>
        <v>0</v>
      </c>
      <c r="O179" s="196">
        <f>IFERROR(IF(($N$4-VLOOKUP(REGISTRO_MAESTRO_m3!X179,DISTRIBUCION_CONTENEDORES!$A$3:$D$530,2) ) &lt; 0,0,($N$4-VLOOKUP(X179,DISTRIBUCION_CONTENEDORES!$A$3:$D$530,2) ) * (M179/VLOOKUP(X179,DISTRIBUCION_CONTENEDORES!$A$3:$D$530,2))),0) *$N$5</f>
        <v>0</v>
      </c>
      <c r="P179" s="194">
        <f t="shared" si="37"/>
        <v>0</v>
      </c>
      <c r="Q179" s="190">
        <f t="shared" si="38"/>
        <v>0</v>
      </c>
      <c r="R179" s="188">
        <f t="shared" si="33"/>
        <v>0</v>
      </c>
      <c r="S179" s="213">
        <v>0</v>
      </c>
      <c r="T179" s="191">
        <f t="shared" si="34"/>
        <v>0</v>
      </c>
      <c r="U179" s="187">
        <f t="shared" si="39"/>
        <v>0</v>
      </c>
      <c r="V179" s="203">
        <f t="shared" si="35"/>
        <v>0</v>
      </c>
      <c r="W179" s="56">
        <f t="shared" si="40"/>
        <v>0</v>
      </c>
      <c r="X179" s="207">
        <v>0</v>
      </c>
      <c r="Y179" s="189">
        <v>0</v>
      </c>
      <c r="Z179" s="189">
        <f t="shared" si="36"/>
        <v>0</v>
      </c>
    </row>
    <row r="180" spans="1:26" x14ac:dyDescent="0.35">
      <c r="A180" s="176">
        <v>212</v>
      </c>
      <c r="B180" s="177"/>
      <c r="C180" s="178"/>
      <c r="D180" s="178"/>
      <c r="E180" s="178"/>
      <c r="F180" s="179"/>
      <c r="G180" s="179"/>
      <c r="H180" s="206"/>
      <c r="I180" s="179"/>
      <c r="J180" s="179"/>
      <c r="K180" s="179"/>
      <c r="L180" s="202">
        <v>0</v>
      </c>
      <c r="M180" s="200">
        <v>0</v>
      </c>
      <c r="N180" s="24">
        <f t="shared" si="32"/>
        <v>0</v>
      </c>
      <c r="O180" s="196">
        <f>IFERROR(IF(($N$4-VLOOKUP(REGISTRO_MAESTRO_m3!X180,DISTRIBUCION_CONTENEDORES!$A$3:$D$530,2) ) &lt; 0,0,($N$4-VLOOKUP(X180,DISTRIBUCION_CONTENEDORES!$A$3:$D$530,2) ) * (M180/VLOOKUP(X180,DISTRIBUCION_CONTENEDORES!$A$3:$D$530,2))),0) *$N$5</f>
        <v>0</v>
      </c>
      <c r="P180" s="194">
        <f t="shared" si="37"/>
        <v>0</v>
      </c>
      <c r="Q180" s="190">
        <f t="shared" si="38"/>
        <v>0</v>
      </c>
      <c r="R180" s="188">
        <f t="shared" si="33"/>
        <v>0</v>
      </c>
      <c r="S180" s="213">
        <v>0</v>
      </c>
      <c r="T180" s="191">
        <f t="shared" si="34"/>
        <v>0</v>
      </c>
      <c r="U180" s="187">
        <f t="shared" si="39"/>
        <v>0</v>
      </c>
      <c r="V180" s="203">
        <f t="shared" si="35"/>
        <v>0</v>
      </c>
      <c r="W180" s="56">
        <f t="shared" si="40"/>
        <v>0</v>
      </c>
      <c r="X180" s="207">
        <v>0</v>
      </c>
      <c r="Y180" s="189">
        <v>0</v>
      </c>
      <c r="Z180" s="189">
        <f t="shared" si="36"/>
        <v>0</v>
      </c>
    </row>
    <row r="181" spans="1:26" x14ac:dyDescent="0.35">
      <c r="A181" s="176">
        <v>213</v>
      </c>
      <c r="B181" s="177"/>
      <c r="C181" s="178"/>
      <c r="D181" s="178"/>
      <c r="E181" s="178"/>
      <c r="F181" s="179"/>
      <c r="G181" s="179"/>
      <c r="H181" s="206"/>
      <c r="I181" s="179"/>
      <c r="J181" s="179"/>
      <c r="K181" s="179"/>
      <c r="L181" s="202">
        <v>0</v>
      </c>
      <c r="M181" s="200">
        <v>0</v>
      </c>
      <c r="N181" s="24">
        <f t="shared" si="32"/>
        <v>0</v>
      </c>
      <c r="O181" s="196">
        <f>IFERROR(IF(($N$4-VLOOKUP(REGISTRO_MAESTRO_m3!X181,DISTRIBUCION_CONTENEDORES!$A$3:$D$530,2) ) &lt; 0,0,($N$4-VLOOKUP(X181,DISTRIBUCION_CONTENEDORES!$A$3:$D$530,2) ) * (M181/VLOOKUP(X181,DISTRIBUCION_CONTENEDORES!$A$3:$D$530,2))),0) *$N$5</f>
        <v>0</v>
      </c>
      <c r="P181" s="194">
        <f t="shared" si="37"/>
        <v>0</v>
      </c>
      <c r="Q181" s="190">
        <f t="shared" si="38"/>
        <v>0</v>
      </c>
      <c r="R181" s="188">
        <f t="shared" si="33"/>
        <v>0</v>
      </c>
      <c r="S181" s="213">
        <v>0</v>
      </c>
      <c r="T181" s="191">
        <f t="shared" si="34"/>
        <v>0</v>
      </c>
      <c r="U181" s="187">
        <f t="shared" si="39"/>
        <v>0</v>
      </c>
      <c r="V181" s="203">
        <f t="shared" si="35"/>
        <v>0</v>
      </c>
      <c r="W181" s="56">
        <f t="shared" si="40"/>
        <v>0</v>
      </c>
      <c r="X181" s="207">
        <v>0</v>
      </c>
      <c r="Y181" s="189">
        <v>0</v>
      </c>
      <c r="Z181" s="189">
        <f t="shared" si="36"/>
        <v>0</v>
      </c>
    </row>
    <row r="182" spans="1:26" x14ac:dyDescent="0.35">
      <c r="A182" s="176">
        <v>214</v>
      </c>
      <c r="B182" s="177"/>
      <c r="C182" s="178"/>
      <c r="D182" s="178"/>
      <c r="E182" s="178"/>
      <c r="F182" s="179"/>
      <c r="G182" s="179"/>
      <c r="H182" s="206"/>
      <c r="I182" s="179"/>
      <c r="J182" s="179"/>
      <c r="K182" s="179"/>
      <c r="L182" s="202">
        <v>0</v>
      </c>
      <c r="M182" s="200">
        <v>0</v>
      </c>
      <c r="N182" s="24">
        <f t="shared" si="32"/>
        <v>0</v>
      </c>
      <c r="O182" s="196">
        <f>IFERROR(IF(($N$4-VLOOKUP(REGISTRO_MAESTRO_m3!X182,DISTRIBUCION_CONTENEDORES!$A$3:$D$530,2) ) &lt; 0,0,($N$4-VLOOKUP(X182,DISTRIBUCION_CONTENEDORES!$A$3:$D$530,2) ) * (M182/VLOOKUP(X182,DISTRIBUCION_CONTENEDORES!$A$3:$D$530,2))),0) *$N$5</f>
        <v>0</v>
      </c>
      <c r="P182" s="194">
        <f t="shared" si="37"/>
        <v>0</v>
      </c>
      <c r="Q182" s="190">
        <f t="shared" si="38"/>
        <v>0</v>
      </c>
      <c r="R182" s="188">
        <f t="shared" si="33"/>
        <v>0</v>
      </c>
      <c r="S182" s="213">
        <v>0</v>
      </c>
      <c r="T182" s="191">
        <f t="shared" si="34"/>
        <v>0</v>
      </c>
      <c r="U182" s="187">
        <f t="shared" si="39"/>
        <v>0</v>
      </c>
      <c r="V182" s="203">
        <f t="shared" si="35"/>
        <v>0</v>
      </c>
      <c r="W182" s="56">
        <f t="shared" si="40"/>
        <v>0</v>
      </c>
      <c r="X182" s="207">
        <v>0</v>
      </c>
      <c r="Y182" s="189">
        <v>0</v>
      </c>
      <c r="Z182" s="189">
        <f t="shared" si="36"/>
        <v>0</v>
      </c>
    </row>
    <row r="183" spans="1:26" x14ac:dyDescent="0.35">
      <c r="A183" s="176">
        <v>215</v>
      </c>
      <c r="B183" s="177"/>
      <c r="C183" s="178"/>
      <c r="D183" s="178"/>
      <c r="E183" s="178"/>
      <c r="F183" s="179"/>
      <c r="G183" s="179"/>
      <c r="H183" s="206"/>
      <c r="I183" s="179"/>
      <c r="J183" s="179"/>
      <c r="K183" s="179"/>
      <c r="L183" s="202">
        <v>0</v>
      </c>
      <c r="M183" s="200">
        <v>0</v>
      </c>
      <c r="N183" s="24">
        <f t="shared" si="32"/>
        <v>0</v>
      </c>
      <c r="O183" s="196">
        <f>IFERROR(IF(($N$4-VLOOKUP(REGISTRO_MAESTRO_m3!X183,DISTRIBUCION_CONTENEDORES!$A$3:$D$530,2) ) &lt; 0,0,($N$4-VLOOKUP(X183,DISTRIBUCION_CONTENEDORES!$A$3:$D$530,2) ) * (M183/VLOOKUP(X183,DISTRIBUCION_CONTENEDORES!$A$3:$D$530,2))),0) *$N$5</f>
        <v>0</v>
      </c>
      <c r="P183" s="194">
        <f t="shared" si="37"/>
        <v>0</v>
      </c>
      <c r="Q183" s="190">
        <f t="shared" si="38"/>
        <v>0</v>
      </c>
      <c r="R183" s="188">
        <f t="shared" si="33"/>
        <v>0</v>
      </c>
      <c r="S183" s="213">
        <v>0</v>
      </c>
      <c r="T183" s="191">
        <f t="shared" si="34"/>
        <v>0</v>
      </c>
      <c r="U183" s="187">
        <f t="shared" si="39"/>
        <v>0</v>
      </c>
      <c r="V183" s="203">
        <f t="shared" si="35"/>
        <v>0</v>
      </c>
      <c r="W183" s="56">
        <f t="shared" si="40"/>
        <v>0</v>
      </c>
      <c r="X183" s="207">
        <v>0</v>
      </c>
      <c r="Y183" s="189">
        <v>0</v>
      </c>
      <c r="Z183" s="189">
        <f t="shared" si="36"/>
        <v>0</v>
      </c>
    </row>
    <row r="184" spans="1:26" x14ac:dyDescent="0.35">
      <c r="A184" s="176">
        <v>216</v>
      </c>
      <c r="B184" s="177"/>
      <c r="C184" s="178"/>
      <c r="D184" s="178"/>
      <c r="E184" s="178"/>
      <c r="F184" s="179"/>
      <c r="G184" s="179"/>
      <c r="H184" s="206"/>
      <c r="I184" s="179"/>
      <c r="J184" s="179"/>
      <c r="K184" s="179"/>
      <c r="L184" s="202">
        <v>0</v>
      </c>
      <c r="M184" s="200">
        <v>0</v>
      </c>
      <c r="N184" s="24">
        <f t="shared" si="32"/>
        <v>0</v>
      </c>
      <c r="O184" s="196">
        <f>IFERROR(IF(($N$4-VLOOKUP(REGISTRO_MAESTRO_m3!X184,DISTRIBUCION_CONTENEDORES!$A$3:$D$530,2) ) &lt; 0,0,($N$4-VLOOKUP(X184,DISTRIBUCION_CONTENEDORES!$A$3:$D$530,2) ) * (M184/VLOOKUP(X184,DISTRIBUCION_CONTENEDORES!$A$3:$D$530,2))),0) *$N$5</f>
        <v>0</v>
      </c>
      <c r="P184" s="194">
        <f t="shared" si="37"/>
        <v>0</v>
      </c>
      <c r="Q184" s="190">
        <f t="shared" si="38"/>
        <v>0</v>
      </c>
      <c r="R184" s="188">
        <f t="shared" si="33"/>
        <v>0</v>
      </c>
      <c r="S184" s="213">
        <v>0</v>
      </c>
      <c r="T184" s="191">
        <f t="shared" si="34"/>
        <v>0</v>
      </c>
      <c r="U184" s="187">
        <f t="shared" si="39"/>
        <v>0</v>
      </c>
      <c r="V184" s="203">
        <f t="shared" si="35"/>
        <v>0</v>
      </c>
      <c r="W184" s="56">
        <f t="shared" si="40"/>
        <v>0</v>
      </c>
      <c r="X184" s="207">
        <v>0</v>
      </c>
      <c r="Y184" s="189">
        <v>0</v>
      </c>
      <c r="Z184" s="189">
        <f t="shared" si="36"/>
        <v>0</v>
      </c>
    </row>
    <row r="185" spans="1:26" x14ac:dyDescent="0.35">
      <c r="A185" s="176">
        <v>217</v>
      </c>
      <c r="B185" s="177"/>
      <c r="C185" s="178"/>
      <c r="D185" s="178"/>
      <c r="E185" s="178"/>
      <c r="F185" s="179"/>
      <c r="G185" s="179"/>
      <c r="H185" s="206"/>
      <c r="I185" s="179"/>
      <c r="J185" s="179"/>
      <c r="K185" s="179"/>
      <c r="L185" s="202">
        <v>0</v>
      </c>
      <c r="M185" s="200">
        <v>0</v>
      </c>
      <c r="N185" s="24">
        <f t="shared" si="32"/>
        <v>0</v>
      </c>
      <c r="O185" s="196">
        <f>IFERROR(IF(($N$4-VLOOKUP(REGISTRO_MAESTRO_m3!X185,DISTRIBUCION_CONTENEDORES!$A$3:$D$530,2) ) &lt; 0,0,($N$4-VLOOKUP(X185,DISTRIBUCION_CONTENEDORES!$A$3:$D$530,2) ) * (M185/VLOOKUP(X185,DISTRIBUCION_CONTENEDORES!$A$3:$D$530,2))),0) *$N$5</f>
        <v>0</v>
      </c>
      <c r="P185" s="194">
        <f t="shared" si="37"/>
        <v>0</v>
      </c>
      <c r="Q185" s="190">
        <f t="shared" si="38"/>
        <v>0</v>
      </c>
      <c r="R185" s="188">
        <f t="shared" si="33"/>
        <v>0</v>
      </c>
      <c r="S185" s="213">
        <v>0</v>
      </c>
      <c r="T185" s="191">
        <f t="shared" si="34"/>
        <v>0</v>
      </c>
      <c r="U185" s="187">
        <f t="shared" si="39"/>
        <v>0</v>
      </c>
      <c r="V185" s="203">
        <f t="shared" si="35"/>
        <v>0</v>
      </c>
      <c r="W185" s="56">
        <f t="shared" si="40"/>
        <v>0</v>
      </c>
      <c r="X185" s="207">
        <v>0</v>
      </c>
      <c r="Y185" s="189">
        <v>0</v>
      </c>
      <c r="Z185" s="189">
        <f t="shared" si="36"/>
        <v>0</v>
      </c>
    </row>
    <row r="186" spans="1:26" x14ac:dyDescent="0.35">
      <c r="A186" s="176">
        <v>218</v>
      </c>
      <c r="B186" s="177"/>
      <c r="C186" s="178"/>
      <c r="D186" s="178"/>
      <c r="E186" s="178"/>
      <c r="F186" s="179"/>
      <c r="G186" s="179"/>
      <c r="H186" s="206"/>
      <c r="I186" s="179"/>
      <c r="J186" s="179"/>
      <c r="K186" s="179"/>
      <c r="L186" s="202">
        <v>0</v>
      </c>
      <c r="M186" s="200">
        <v>0</v>
      </c>
      <c r="N186" s="24">
        <f t="shared" si="32"/>
        <v>0</v>
      </c>
      <c r="O186" s="196">
        <f>IFERROR(IF(($N$4-VLOOKUP(REGISTRO_MAESTRO_m3!X186,DISTRIBUCION_CONTENEDORES!$A$3:$D$530,2) ) &lt; 0,0,($N$4-VLOOKUP(X186,DISTRIBUCION_CONTENEDORES!$A$3:$D$530,2) ) * (M186/VLOOKUP(X186,DISTRIBUCION_CONTENEDORES!$A$3:$D$530,2))),0) *$N$5</f>
        <v>0</v>
      </c>
      <c r="P186" s="194">
        <f t="shared" si="37"/>
        <v>0</v>
      </c>
      <c r="Q186" s="190">
        <f t="shared" si="38"/>
        <v>0</v>
      </c>
      <c r="R186" s="188">
        <f t="shared" si="33"/>
        <v>0</v>
      </c>
      <c r="S186" s="213">
        <v>0</v>
      </c>
      <c r="T186" s="191">
        <f t="shared" si="34"/>
        <v>0</v>
      </c>
      <c r="U186" s="187">
        <f t="shared" si="39"/>
        <v>0</v>
      </c>
      <c r="V186" s="203">
        <f t="shared" si="35"/>
        <v>0</v>
      </c>
      <c r="W186" s="56">
        <f t="shared" si="40"/>
        <v>0</v>
      </c>
      <c r="X186" s="207">
        <v>0</v>
      </c>
      <c r="Y186" s="189">
        <v>0</v>
      </c>
      <c r="Z186" s="189">
        <f t="shared" si="36"/>
        <v>0</v>
      </c>
    </row>
    <row r="187" spans="1:26" x14ac:dyDescent="0.35">
      <c r="A187" s="176">
        <v>219</v>
      </c>
      <c r="B187" s="177"/>
      <c r="C187" s="178"/>
      <c r="D187" s="178"/>
      <c r="E187" s="178"/>
      <c r="F187" s="179"/>
      <c r="G187" s="179"/>
      <c r="H187" s="206"/>
      <c r="I187" s="179"/>
      <c r="J187" s="179"/>
      <c r="K187" s="179"/>
      <c r="L187" s="202">
        <v>0</v>
      </c>
      <c r="M187" s="200">
        <v>0</v>
      </c>
      <c r="N187" s="24">
        <f t="shared" si="32"/>
        <v>0</v>
      </c>
      <c r="O187" s="196">
        <f>IFERROR(IF(($N$4-VLOOKUP(REGISTRO_MAESTRO_m3!X187,DISTRIBUCION_CONTENEDORES!$A$3:$D$530,2) ) &lt; 0,0,($N$4-VLOOKUP(X187,DISTRIBUCION_CONTENEDORES!$A$3:$D$530,2) ) * (M187/VLOOKUP(X187,DISTRIBUCION_CONTENEDORES!$A$3:$D$530,2))),0) *$N$5</f>
        <v>0</v>
      </c>
      <c r="P187" s="194">
        <f t="shared" si="37"/>
        <v>0</v>
      </c>
      <c r="Q187" s="190">
        <f t="shared" si="38"/>
        <v>0</v>
      </c>
      <c r="R187" s="188">
        <f t="shared" si="33"/>
        <v>0</v>
      </c>
      <c r="S187" s="213">
        <v>0</v>
      </c>
      <c r="T187" s="191">
        <f t="shared" si="34"/>
        <v>0</v>
      </c>
      <c r="U187" s="187">
        <f t="shared" si="39"/>
        <v>0</v>
      </c>
      <c r="V187" s="203">
        <f t="shared" si="35"/>
        <v>0</v>
      </c>
      <c r="W187" s="56">
        <f t="shared" si="40"/>
        <v>0</v>
      </c>
      <c r="X187" s="207">
        <v>0</v>
      </c>
      <c r="Y187" s="189">
        <v>0</v>
      </c>
      <c r="Z187" s="189">
        <f t="shared" si="36"/>
        <v>0</v>
      </c>
    </row>
    <row r="188" spans="1:26" x14ac:dyDescent="0.35">
      <c r="A188" s="176">
        <v>220</v>
      </c>
      <c r="B188" s="177"/>
      <c r="C188" s="178"/>
      <c r="D188" s="178"/>
      <c r="E188" s="178"/>
      <c r="F188" s="179"/>
      <c r="G188" s="179"/>
      <c r="H188" s="206"/>
      <c r="I188" s="179"/>
      <c r="J188" s="179"/>
      <c r="K188" s="179"/>
      <c r="L188" s="202">
        <v>0</v>
      </c>
      <c r="M188" s="200">
        <v>0</v>
      </c>
      <c r="N188" s="24">
        <f t="shared" si="32"/>
        <v>0</v>
      </c>
      <c r="O188" s="196">
        <f>IFERROR(IF(($N$4-VLOOKUP(REGISTRO_MAESTRO_m3!X188,DISTRIBUCION_CONTENEDORES!$A$3:$D$530,2) ) &lt; 0,0,($N$4-VLOOKUP(X188,DISTRIBUCION_CONTENEDORES!$A$3:$D$530,2) ) * (M188/VLOOKUP(X188,DISTRIBUCION_CONTENEDORES!$A$3:$D$530,2))),0) *$N$5</f>
        <v>0</v>
      </c>
      <c r="P188" s="194">
        <f t="shared" si="37"/>
        <v>0</v>
      </c>
      <c r="Q188" s="190">
        <f t="shared" si="38"/>
        <v>0</v>
      </c>
      <c r="R188" s="188">
        <f t="shared" si="33"/>
        <v>0</v>
      </c>
      <c r="S188" s="213">
        <v>0</v>
      </c>
      <c r="T188" s="191">
        <f t="shared" si="34"/>
        <v>0</v>
      </c>
      <c r="U188" s="187">
        <f t="shared" si="39"/>
        <v>0</v>
      </c>
      <c r="V188" s="203">
        <f t="shared" si="35"/>
        <v>0</v>
      </c>
      <c r="W188" s="56">
        <f t="shared" si="40"/>
        <v>0</v>
      </c>
      <c r="X188" s="207">
        <v>0</v>
      </c>
      <c r="Y188" s="189">
        <v>0</v>
      </c>
      <c r="Z188" s="189">
        <f t="shared" si="36"/>
        <v>0</v>
      </c>
    </row>
    <row r="189" spans="1:26" x14ac:dyDescent="0.35">
      <c r="A189" s="176">
        <v>221</v>
      </c>
      <c r="B189" s="177"/>
      <c r="C189" s="178"/>
      <c r="D189" s="178"/>
      <c r="E189" s="178"/>
      <c r="F189" s="179"/>
      <c r="G189" s="179"/>
      <c r="H189" s="206"/>
      <c r="I189" s="179"/>
      <c r="J189" s="179"/>
      <c r="K189" s="179"/>
      <c r="L189" s="202">
        <v>0</v>
      </c>
      <c r="M189" s="200">
        <v>0</v>
      </c>
      <c r="N189" s="24">
        <f t="shared" si="32"/>
        <v>0</v>
      </c>
      <c r="O189" s="196">
        <f>IFERROR(IF(($N$4-VLOOKUP(REGISTRO_MAESTRO_m3!X189,DISTRIBUCION_CONTENEDORES!$A$3:$D$530,2) ) &lt; 0,0,($N$4-VLOOKUP(X189,DISTRIBUCION_CONTENEDORES!$A$3:$D$530,2) ) * (M189/VLOOKUP(X189,DISTRIBUCION_CONTENEDORES!$A$3:$D$530,2))),0) *$N$5</f>
        <v>0</v>
      </c>
      <c r="P189" s="194">
        <f t="shared" si="37"/>
        <v>0</v>
      </c>
      <c r="Q189" s="190">
        <f t="shared" si="38"/>
        <v>0</v>
      </c>
      <c r="R189" s="188">
        <f t="shared" si="33"/>
        <v>0</v>
      </c>
      <c r="S189" s="213">
        <v>0</v>
      </c>
      <c r="T189" s="191">
        <f t="shared" si="34"/>
        <v>0</v>
      </c>
      <c r="U189" s="187">
        <f t="shared" si="39"/>
        <v>0</v>
      </c>
      <c r="V189" s="203">
        <f t="shared" si="35"/>
        <v>0</v>
      </c>
      <c r="W189" s="56">
        <f t="shared" si="40"/>
        <v>0</v>
      </c>
      <c r="X189" s="207">
        <v>0</v>
      </c>
      <c r="Y189" s="189">
        <v>0</v>
      </c>
      <c r="Z189" s="189">
        <f t="shared" si="36"/>
        <v>0</v>
      </c>
    </row>
    <row r="190" spans="1:26" x14ac:dyDescent="0.35">
      <c r="A190" s="176">
        <v>222</v>
      </c>
      <c r="B190" s="177"/>
      <c r="C190" s="178"/>
      <c r="D190" s="178"/>
      <c r="E190" s="178"/>
      <c r="F190" s="179"/>
      <c r="G190" s="179"/>
      <c r="H190" s="206"/>
      <c r="I190" s="179"/>
      <c r="J190" s="179"/>
      <c r="K190" s="179"/>
      <c r="L190" s="202">
        <v>0</v>
      </c>
      <c r="M190" s="200">
        <v>0</v>
      </c>
      <c r="N190" s="24">
        <f t="shared" si="32"/>
        <v>0</v>
      </c>
      <c r="O190" s="196">
        <f>IFERROR(IF(($N$4-VLOOKUP(REGISTRO_MAESTRO_m3!X190,DISTRIBUCION_CONTENEDORES!$A$3:$D$530,2) ) &lt; 0,0,($N$4-VLOOKUP(X190,DISTRIBUCION_CONTENEDORES!$A$3:$D$530,2) ) * (M190/VLOOKUP(X190,DISTRIBUCION_CONTENEDORES!$A$3:$D$530,2))),0) *$N$5</f>
        <v>0</v>
      </c>
      <c r="P190" s="194">
        <f t="shared" si="37"/>
        <v>0</v>
      </c>
      <c r="Q190" s="190">
        <f t="shared" si="38"/>
        <v>0</v>
      </c>
      <c r="R190" s="188">
        <f t="shared" si="33"/>
        <v>0</v>
      </c>
      <c r="S190" s="213">
        <v>0</v>
      </c>
      <c r="T190" s="191">
        <f t="shared" si="34"/>
        <v>0</v>
      </c>
      <c r="U190" s="187">
        <f t="shared" si="39"/>
        <v>0</v>
      </c>
      <c r="V190" s="203">
        <f t="shared" si="35"/>
        <v>0</v>
      </c>
      <c r="W190" s="56">
        <f t="shared" si="40"/>
        <v>0</v>
      </c>
      <c r="X190" s="207">
        <v>0</v>
      </c>
      <c r="Y190" s="189">
        <v>0</v>
      </c>
      <c r="Z190" s="189">
        <f t="shared" si="36"/>
        <v>0</v>
      </c>
    </row>
    <row r="191" spans="1:26" x14ac:dyDescent="0.35">
      <c r="A191" s="176">
        <v>223</v>
      </c>
      <c r="B191" s="177"/>
      <c r="C191" s="178"/>
      <c r="D191" s="178"/>
      <c r="E191" s="178"/>
      <c r="F191" s="179"/>
      <c r="G191" s="179"/>
      <c r="H191" s="206"/>
      <c r="I191" s="179"/>
      <c r="J191" s="179"/>
      <c r="K191" s="179"/>
      <c r="L191" s="202">
        <v>0</v>
      </c>
      <c r="M191" s="200">
        <v>0</v>
      </c>
      <c r="N191" s="24">
        <f t="shared" si="32"/>
        <v>0</v>
      </c>
      <c r="O191" s="196">
        <f>IFERROR(IF(($N$4-VLOOKUP(REGISTRO_MAESTRO_m3!X191,DISTRIBUCION_CONTENEDORES!$A$3:$D$530,2) ) &lt; 0,0,($N$4-VLOOKUP(X191,DISTRIBUCION_CONTENEDORES!$A$3:$D$530,2) ) * (M191/VLOOKUP(X191,DISTRIBUCION_CONTENEDORES!$A$3:$D$530,2))),0) *$N$5</f>
        <v>0</v>
      </c>
      <c r="P191" s="194">
        <f t="shared" si="37"/>
        <v>0</v>
      </c>
      <c r="Q191" s="190">
        <f t="shared" si="38"/>
        <v>0</v>
      </c>
      <c r="R191" s="188">
        <f t="shared" si="33"/>
        <v>0</v>
      </c>
      <c r="S191" s="213">
        <v>0</v>
      </c>
      <c r="T191" s="191">
        <f t="shared" si="34"/>
        <v>0</v>
      </c>
      <c r="U191" s="187">
        <f t="shared" si="39"/>
        <v>0</v>
      </c>
      <c r="V191" s="203">
        <f t="shared" si="35"/>
        <v>0</v>
      </c>
      <c r="W191" s="56">
        <f t="shared" si="40"/>
        <v>0</v>
      </c>
      <c r="X191" s="207">
        <v>0</v>
      </c>
      <c r="Y191" s="189">
        <v>0</v>
      </c>
      <c r="Z191" s="189">
        <f t="shared" si="36"/>
        <v>0</v>
      </c>
    </row>
    <row r="192" spans="1:26" x14ac:dyDescent="0.35">
      <c r="A192" s="176">
        <v>224</v>
      </c>
      <c r="B192" s="177"/>
      <c r="C192" s="178"/>
      <c r="D192" s="178"/>
      <c r="E192" s="178"/>
      <c r="F192" s="179"/>
      <c r="G192" s="179"/>
      <c r="H192" s="206"/>
      <c r="I192" s="179"/>
      <c r="J192" s="179"/>
      <c r="K192" s="179"/>
      <c r="L192" s="202">
        <v>0</v>
      </c>
      <c r="M192" s="200">
        <v>0</v>
      </c>
      <c r="N192" s="24">
        <f t="shared" si="32"/>
        <v>0</v>
      </c>
      <c r="O192" s="196">
        <f>IFERROR(IF(($N$4-VLOOKUP(REGISTRO_MAESTRO_m3!X192,DISTRIBUCION_CONTENEDORES!$A$3:$D$530,2) ) &lt; 0,0,($N$4-VLOOKUP(X192,DISTRIBUCION_CONTENEDORES!$A$3:$D$530,2) ) * (M192/VLOOKUP(X192,DISTRIBUCION_CONTENEDORES!$A$3:$D$530,2))),0) *$N$5</f>
        <v>0</v>
      </c>
      <c r="P192" s="194">
        <f t="shared" si="37"/>
        <v>0</v>
      </c>
      <c r="Q192" s="190">
        <f t="shared" si="38"/>
        <v>0</v>
      </c>
      <c r="R192" s="188">
        <f t="shared" si="33"/>
        <v>0</v>
      </c>
      <c r="S192" s="213">
        <v>0</v>
      </c>
      <c r="T192" s="191">
        <f t="shared" si="34"/>
        <v>0</v>
      </c>
      <c r="U192" s="187">
        <f t="shared" si="39"/>
        <v>0</v>
      </c>
      <c r="V192" s="203">
        <f t="shared" si="35"/>
        <v>0</v>
      </c>
      <c r="W192" s="56">
        <f t="shared" si="40"/>
        <v>0</v>
      </c>
      <c r="X192" s="207">
        <v>0</v>
      </c>
      <c r="Y192" s="189">
        <v>0</v>
      </c>
      <c r="Z192" s="189">
        <f t="shared" si="36"/>
        <v>0</v>
      </c>
    </row>
    <row r="193" spans="1:26" x14ac:dyDescent="0.35">
      <c r="A193" s="176">
        <v>225</v>
      </c>
      <c r="B193" s="177"/>
      <c r="C193" s="178"/>
      <c r="D193" s="178"/>
      <c r="E193" s="178"/>
      <c r="F193" s="179"/>
      <c r="G193" s="179"/>
      <c r="H193" s="206"/>
      <c r="I193" s="179"/>
      <c r="J193" s="179"/>
      <c r="K193" s="179"/>
      <c r="L193" s="202">
        <v>0</v>
      </c>
      <c r="M193" s="200">
        <v>0</v>
      </c>
      <c r="N193" s="24">
        <f t="shared" si="32"/>
        <v>0</v>
      </c>
      <c r="O193" s="196">
        <f>IFERROR(IF(($N$4-VLOOKUP(REGISTRO_MAESTRO_m3!X193,DISTRIBUCION_CONTENEDORES!$A$3:$D$530,2) ) &lt; 0,0,($N$4-VLOOKUP(X193,DISTRIBUCION_CONTENEDORES!$A$3:$D$530,2) ) * (M193/VLOOKUP(X193,DISTRIBUCION_CONTENEDORES!$A$3:$D$530,2))),0) *$N$5</f>
        <v>0</v>
      </c>
      <c r="P193" s="194">
        <f t="shared" si="37"/>
        <v>0</v>
      </c>
      <c r="Q193" s="190">
        <f t="shared" si="38"/>
        <v>0</v>
      </c>
      <c r="R193" s="188">
        <f t="shared" si="33"/>
        <v>0</v>
      </c>
      <c r="S193" s="213">
        <v>0</v>
      </c>
      <c r="T193" s="191">
        <f t="shared" si="34"/>
        <v>0</v>
      </c>
      <c r="U193" s="187">
        <f t="shared" si="39"/>
        <v>0</v>
      </c>
      <c r="V193" s="203">
        <f t="shared" si="35"/>
        <v>0</v>
      </c>
      <c r="W193" s="56">
        <f t="shared" si="40"/>
        <v>0</v>
      </c>
      <c r="X193" s="207">
        <v>0</v>
      </c>
      <c r="Y193" s="189">
        <v>0</v>
      </c>
      <c r="Z193" s="189">
        <f t="shared" si="36"/>
        <v>0</v>
      </c>
    </row>
    <row r="194" spans="1:26" x14ac:dyDescent="0.35">
      <c r="A194" s="176">
        <v>226</v>
      </c>
      <c r="B194" s="177"/>
      <c r="C194" s="178"/>
      <c r="D194" s="178"/>
      <c r="E194" s="178"/>
      <c r="F194" s="179"/>
      <c r="G194" s="179"/>
      <c r="H194" s="206"/>
      <c r="I194" s="179"/>
      <c r="J194" s="179"/>
      <c r="K194" s="179"/>
      <c r="L194" s="202">
        <v>0</v>
      </c>
      <c r="M194" s="200">
        <v>0</v>
      </c>
      <c r="N194" s="24">
        <f t="shared" si="32"/>
        <v>0</v>
      </c>
      <c r="O194" s="196">
        <f>IFERROR(IF(($N$4-VLOOKUP(REGISTRO_MAESTRO_m3!X194,DISTRIBUCION_CONTENEDORES!$A$3:$D$530,2) ) &lt; 0,0,($N$4-VLOOKUP(X194,DISTRIBUCION_CONTENEDORES!$A$3:$D$530,2) ) * (M194/VLOOKUP(X194,DISTRIBUCION_CONTENEDORES!$A$3:$D$530,2))),0) *$N$5</f>
        <v>0</v>
      </c>
      <c r="P194" s="194">
        <f t="shared" si="37"/>
        <v>0</v>
      </c>
      <c r="Q194" s="190">
        <f t="shared" si="38"/>
        <v>0</v>
      </c>
      <c r="R194" s="188">
        <f t="shared" si="33"/>
        <v>0</v>
      </c>
      <c r="S194" s="213">
        <v>0</v>
      </c>
      <c r="T194" s="191">
        <f t="shared" si="34"/>
        <v>0</v>
      </c>
      <c r="U194" s="187">
        <f t="shared" si="39"/>
        <v>0</v>
      </c>
      <c r="V194" s="203">
        <f t="shared" si="35"/>
        <v>0</v>
      </c>
      <c r="W194" s="56">
        <f t="shared" si="40"/>
        <v>0</v>
      </c>
      <c r="X194" s="207">
        <v>0</v>
      </c>
      <c r="Y194" s="189">
        <v>0</v>
      </c>
      <c r="Z194" s="189">
        <f t="shared" si="36"/>
        <v>0</v>
      </c>
    </row>
    <row r="195" spans="1:26" x14ac:dyDescent="0.35">
      <c r="A195" s="176">
        <v>227</v>
      </c>
      <c r="B195" s="177"/>
      <c r="C195" s="178"/>
      <c r="D195" s="178"/>
      <c r="E195" s="178"/>
      <c r="F195" s="179"/>
      <c r="G195" s="179"/>
      <c r="H195" s="206"/>
      <c r="I195" s="179"/>
      <c r="J195" s="179"/>
      <c r="K195" s="179"/>
      <c r="L195" s="202">
        <v>0</v>
      </c>
      <c r="M195" s="200">
        <v>0</v>
      </c>
      <c r="N195" s="24">
        <f t="shared" si="32"/>
        <v>0</v>
      </c>
      <c r="O195" s="196">
        <f>IFERROR(IF(($N$4-VLOOKUP(REGISTRO_MAESTRO_m3!X195,DISTRIBUCION_CONTENEDORES!$A$3:$D$530,2) ) &lt; 0,0,($N$4-VLOOKUP(X195,DISTRIBUCION_CONTENEDORES!$A$3:$D$530,2) ) * (M195/VLOOKUP(X195,DISTRIBUCION_CONTENEDORES!$A$3:$D$530,2))),0) *$N$5</f>
        <v>0</v>
      </c>
      <c r="P195" s="194">
        <f t="shared" si="37"/>
        <v>0</v>
      </c>
      <c r="Q195" s="190">
        <f t="shared" si="38"/>
        <v>0</v>
      </c>
      <c r="R195" s="188">
        <f t="shared" si="33"/>
        <v>0</v>
      </c>
      <c r="S195" s="213">
        <v>0</v>
      </c>
      <c r="T195" s="191">
        <f t="shared" si="34"/>
        <v>0</v>
      </c>
      <c r="U195" s="187">
        <f t="shared" si="39"/>
        <v>0</v>
      </c>
      <c r="V195" s="203">
        <f t="shared" si="35"/>
        <v>0</v>
      </c>
      <c r="W195" s="56">
        <f t="shared" si="40"/>
        <v>0</v>
      </c>
      <c r="X195" s="207">
        <v>0</v>
      </c>
      <c r="Y195" s="189">
        <v>0</v>
      </c>
      <c r="Z195" s="189">
        <f t="shared" si="36"/>
        <v>0</v>
      </c>
    </row>
    <row r="196" spans="1:26" x14ac:dyDescent="0.35">
      <c r="A196" s="176">
        <v>228</v>
      </c>
      <c r="B196" s="177"/>
      <c r="C196" s="178"/>
      <c r="D196" s="178"/>
      <c r="E196" s="178"/>
      <c r="F196" s="179"/>
      <c r="G196" s="179"/>
      <c r="H196" s="206"/>
      <c r="I196" s="179"/>
      <c r="J196" s="179"/>
      <c r="K196" s="179"/>
      <c r="L196" s="202">
        <v>0</v>
      </c>
      <c r="M196" s="200">
        <v>0</v>
      </c>
      <c r="N196" s="24">
        <f t="shared" si="32"/>
        <v>0</v>
      </c>
      <c r="O196" s="196">
        <f>IFERROR(IF(($N$4-VLOOKUP(REGISTRO_MAESTRO_m3!X196,DISTRIBUCION_CONTENEDORES!$A$3:$D$530,2) ) &lt; 0,0,($N$4-VLOOKUP(X196,DISTRIBUCION_CONTENEDORES!$A$3:$D$530,2) ) * (M196/VLOOKUP(X196,DISTRIBUCION_CONTENEDORES!$A$3:$D$530,2))),0) *$N$5</f>
        <v>0</v>
      </c>
      <c r="P196" s="194">
        <f t="shared" si="37"/>
        <v>0</v>
      </c>
      <c r="Q196" s="190">
        <f t="shared" si="38"/>
        <v>0</v>
      </c>
      <c r="R196" s="188">
        <f t="shared" si="33"/>
        <v>0</v>
      </c>
      <c r="S196" s="213">
        <v>0</v>
      </c>
      <c r="T196" s="191">
        <f t="shared" si="34"/>
        <v>0</v>
      </c>
      <c r="U196" s="187">
        <f t="shared" si="39"/>
        <v>0</v>
      </c>
      <c r="V196" s="203">
        <f t="shared" si="35"/>
        <v>0</v>
      </c>
      <c r="W196" s="56">
        <f t="shared" si="40"/>
        <v>0</v>
      </c>
      <c r="X196" s="207">
        <v>0</v>
      </c>
      <c r="Y196" s="189">
        <v>0</v>
      </c>
      <c r="Z196" s="189">
        <f t="shared" si="36"/>
        <v>0</v>
      </c>
    </row>
    <row r="197" spans="1:26" x14ac:dyDescent="0.35">
      <c r="A197" s="176">
        <v>229</v>
      </c>
      <c r="B197" s="177"/>
      <c r="C197" s="178"/>
      <c r="D197" s="178"/>
      <c r="E197" s="178"/>
      <c r="F197" s="179"/>
      <c r="G197" s="179"/>
      <c r="H197" s="206"/>
      <c r="I197" s="179"/>
      <c r="J197" s="179"/>
      <c r="K197" s="179"/>
      <c r="L197" s="202">
        <v>0</v>
      </c>
      <c r="M197" s="200">
        <v>0</v>
      </c>
      <c r="N197" s="24">
        <f t="shared" si="32"/>
        <v>0</v>
      </c>
      <c r="O197" s="196">
        <f>IFERROR(IF(($N$4-VLOOKUP(REGISTRO_MAESTRO_m3!X197,DISTRIBUCION_CONTENEDORES!$A$3:$D$530,2) ) &lt; 0,0,($N$4-VLOOKUP(X197,DISTRIBUCION_CONTENEDORES!$A$3:$D$530,2) ) * (M197/VLOOKUP(X197,DISTRIBUCION_CONTENEDORES!$A$3:$D$530,2))),0) *$N$5</f>
        <v>0</v>
      </c>
      <c r="P197" s="194">
        <f t="shared" si="37"/>
        <v>0</v>
      </c>
      <c r="Q197" s="190">
        <f t="shared" si="38"/>
        <v>0</v>
      </c>
      <c r="R197" s="188">
        <f t="shared" si="33"/>
        <v>0</v>
      </c>
      <c r="S197" s="213">
        <v>0</v>
      </c>
      <c r="T197" s="191">
        <f t="shared" si="34"/>
        <v>0</v>
      </c>
      <c r="U197" s="187">
        <f t="shared" si="39"/>
        <v>0</v>
      </c>
      <c r="V197" s="203">
        <f t="shared" si="35"/>
        <v>0</v>
      </c>
      <c r="W197" s="56">
        <f t="shared" si="40"/>
        <v>0</v>
      </c>
      <c r="X197" s="207">
        <v>0</v>
      </c>
      <c r="Y197" s="189">
        <v>0</v>
      </c>
      <c r="Z197" s="189">
        <f t="shared" si="36"/>
        <v>0</v>
      </c>
    </row>
    <row r="198" spans="1:26" x14ac:dyDescent="0.35">
      <c r="A198" s="176">
        <v>230</v>
      </c>
      <c r="B198" s="177"/>
      <c r="C198" s="178"/>
      <c r="D198" s="178"/>
      <c r="E198" s="178"/>
      <c r="F198" s="179"/>
      <c r="G198" s="179"/>
      <c r="H198" s="206"/>
      <c r="I198" s="179"/>
      <c r="J198" s="179"/>
      <c r="K198" s="179"/>
      <c r="L198" s="202">
        <v>0</v>
      </c>
      <c r="M198" s="200">
        <v>0</v>
      </c>
      <c r="N198" s="24">
        <f t="shared" si="32"/>
        <v>0</v>
      </c>
      <c r="O198" s="196">
        <f>IFERROR(IF(($N$4-VLOOKUP(REGISTRO_MAESTRO_m3!X198,DISTRIBUCION_CONTENEDORES!$A$3:$D$530,2) ) &lt; 0,0,($N$4-VLOOKUP(X198,DISTRIBUCION_CONTENEDORES!$A$3:$D$530,2) ) * (M198/VLOOKUP(X198,DISTRIBUCION_CONTENEDORES!$A$3:$D$530,2))),0) *$N$5</f>
        <v>0</v>
      </c>
      <c r="P198" s="194">
        <f t="shared" si="37"/>
        <v>0</v>
      </c>
      <c r="Q198" s="190">
        <f t="shared" si="38"/>
        <v>0</v>
      </c>
      <c r="R198" s="188">
        <f t="shared" si="33"/>
        <v>0</v>
      </c>
      <c r="S198" s="213">
        <v>0</v>
      </c>
      <c r="T198" s="191">
        <f t="shared" si="34"/>
        <v>0</v>
      </c>
      <c r="U198" s="187">
        <f t="shared" si="39"/>
        <v>0</v>
      </c>
      <c r="V198" s="203">
        <f t="shared" si="35"/>
        <v>0</v>
      </c>
      <c r="W198" s="56">
        <f t="shared" si="40"/>
        <v>0</v>
      </c>
      <c r="X198" s="207">
        <v>0</v>
      </c>
      <c r="Y198" s="189">
        <v>0</v>
      </c>
      <c r="Z198" s="189">
        <f t="shared" si="36"/>
        <v>0</v>
      </c>
    </row>
    <row r="199" spans="1:26" x14ac:dyDescent="0.35">
      <c r="A199" s="176">
        <v>231</v>
      </c>
      <c r="B199" s="177"/>
      <c r="C199" s="178"/>
      <c r="D199" s="178"/>
      <c r="E199" s="178"/>
      <c r="F199" s="179"/>
      <c r="G199" s="179"/>
      <c r="H199" s="206"/>
      <c r="I199" s="179"/>
      <c r="J199" s="179"/>
      <c r="K199" s="179"/>
      <c r="L199" s="202">
        <v>0</v>
      </c>
      <c r="M199" s="200">
        <v>0</v>
      </c>
      <c r="N199" s="24">
        <f t="shared" si="32"/>
        <v>0</v>
      </c>
      <c r="O199" s="196">
        <f>IFERROR(IF(($N$4-VLOOKUP(REGISTRO_MAESTRO_m3!X199,DISTRIBUCION_CONTENEDORES!$A$3:$D$530,2) ) &lt; 0,0,($N$4-VLOOKUP(X199,DISTRIBUCION_CONTENEDORES!$A$3:$D$530,2) ) * (M199/VLOOKUP(X199,DISTRIBUCION_CONTENEDORES!$A$3:$D$530,2))),0) *$N$5</f>
        <v>0</v>
      </c>
      <c r="P199" s="194">
        <f t="shared" si="37"/>
        <v>0</v>
      </c>
      <c r="Q199" s="190">
        <f t="shared" si="38"/>
        <v>0</v>
      </c>
      <c r="R199" s="188">
        <f t="shared" si="33"/>
        <v>0</v>
      </c>
      <c r="S199" s="213">
        <v>0</v>
      </c>
      <c r="T199" s="191">
        <f t="shared" si="34"/>
        <v>0</v>
      </c>
      <c r="U199" s="187">
        <f t="shared" si="39"/>
        <v>0</v>
      </c>
      <c r="V199" s="203">
        <f t="shared" si="35"/>
        <v>0</v>
      </c>
      <c r="W199" s="56">
        <f t="shared" si="40"/>
        <v>0</v>
      </c>
      <c r="X199" s="207">
        <v>0</v>
      </c>
      <c r="Y199" s="189">
        <v>0</v>
      </c>
      <c r="Z199" s="189">
        <f t="shared" si="36"/>
        <v>0</v>
      </c>
    </row>
    <row r="200" spans="1:26" x14ac:dyDescent="0.35">
      <c r="A200" s="176">
        <v>232</v>
      </c>
      <c r="B200" s="177"/>
      <c r="C200" s="178"/>
      <c r="D200" s="178"/>
      <c r="E200" s="178"/>
      <c r="F200" s="179"/>
      <c r="G200" s="179"/>
      <c r="H200" s="206"/>
      <c r="I200" s="179"/>
      <c r="J200" s="179"/>
      <c r="K200" s="179"/>
      <c r="L200" s="202">
        <v>0</v>
      </c>
      <c r="M200" s="200">
        <v>0</v>
      </c>
      <c r="N200" s="24">
        <f t="shared" si="32"/>
        <v>0</v>
      </c>
      <c r="O200" s="196">
        <f>IFERROR(IF(($N$4-VLOOKUP(REGISTRO_MAESTRO_m3!X200,DISTRIBUCION_CONTENEDORES!$A$3:$D$530,2) ) &lt; 0,0,($N$4-VLOOKUP(X200,DISTRIBUCION_CONTENEDORES!$A$3:$D$530,2) ) * (M200/VLOOKUP(X200,DISTRIBUCION_CONTENEDORES!$A$3:$D$530,2))),0) *$N$5</f>
        <v>0</v>
      </c>
      <c r="P200" s="194">
        <f t="shared" si="37"/>
        <v>0</v>
      </c>
      <c r="Q200" s="190">
        <f t="shared" si="38"/>
        <v>0</v>
      </c>
      <c r="R200" s="188">
        <f t="shared" si="33"/>
        <v>0</v>
      </c>
      <c r="S200" s="213">
        <v>0</v>
      </c>
      <c r="T200" s="191">
        <f t="shared" si="34"/>
        <v>0</v>
      </c>
      <c r="U200" s="187">
        <f t="shared" si="39"/>
        <v>0</v>
      </c>
      <c r="V200" s="203">
        <f t="shared" si="35"/>
        <v>0</v>
      </c>
      <c r="W200" s="56">
        <f t="shared" si="40"/>
        <v>0</v>
      </c>
      <c r="X200" s="207">
        <v>0</v>
      </c>
      <c r="Y200" s="189">
        <v>0</v>
      </c>
      <c r="Z200" s="189">
        <f t="shared" si="36"/>
        <v>0</v>
      </c>
    </row>
    <row r="201" spans="1:26" x14ac:dyDescent="0.35">
      <c r="A201" s="176">
        <v>233</v>
      </c>
      <c r="B201" s="177"/>
      <c r="C201" s="178"/>
      <c r="D201" s="178"/>
      <c r="E201" s="178"/>
      <c r="F201" s="179"/>
      <c r="G201" s="179"/>
      <c r="H201" s="206"/>
      <c r="I201" s="179"/>
      <c r="J201" s="179"/>
      <c r="K201" s="179"/>
      <c r="L201" s="202">
        <v>0</v>
      </c>
      <c r="M201" s="200">
        <v>0</v>
      </c>
      <c r="N201" s="24">
        <f t="shared" si="32"/>
        <v>0</v>
      </c>
      <c r="O201" s="196">
        <f>IFERROR(IF(($N$4-VLOOKUP(REGISTRO_MAESTRO_m3!X201,DISTRIBUCION_CONTENEDORES!$A$3:$D$530,2) ) &lt; 0,0,($N$4-VLOOKUP(X201,DISTRIBUCION_CONTENEDORES!$A$3:$D$530,2) ) * (M201/VLOOKUP(X201,DISTRIBUCION_CONTENEDORES!$A$3:$D$530,2))),0) *$N$5</f>
        <v>0</v>
      </c>
      <c r="P201" s="194">
        <f t="shared" si="37"/>
        <v>0</v>
      </c>
      <c r="Q201" s="190">
        <f t="shared" si="38"/>
        <v>0</v>
      </c>
      <c r="R201" s="188">
        <f t="shared" si="33"/>
        <v>0</v>
      </c>
      <c r="S201" s="213">
        <v>0</v>
      </c>
      <c r="T201" s="191">
        <f t="shared" si="34"/>
        <v>0</v>
      </c>
      <c r="U201" s="187">
        <f t="shared" si="39"/>
        <v>0</v>
      </c>
      <c r="V201" s="203">
        <f t="shared" si="35"/>
        <v>0</v>
      </c>
      <c r="W201" s="56">
        <f t="shared" si="40"/>
        <v>0</v>
      </c>
      <c r="X201" s="207">
        <v>0</v>
      </c>
      <c r="Y201" s="189">
        <v>0</v>
      </c>
      <c r="Z201" s="189">
        <f t="shared" si="36"/>
        <v>0</v>
      </c>
    </row>
    <row r="202" spans="1:26" x14ac:dyDescent="0.35">
      <c r="A202" s="176">
        <v>234</v>
      </c>
      <c r="B202" s="177"/>
      <c r="C202" s="178"/>
      <c r="D202" s="178"/>
      <c r="E202" s="178"/>
      <c r="F202" s="179"/>
      <c r="G202" s="179"/>
      <c r="H202" s="206"/>
      <c r="I202" s="179"/>
      <c r="J202" s="179"/>
      <c r="K202" s="179"/>
      <c r="L202" s="202">
        <v>0</v>
      </c>
      <c r="M202" s="200">
        <v>0</v>
      </c>
      <c r="N202" s="24">
        <f t="shared" si="32"/>
        <v>0</v>
      </c>
      <c r="O202" s="196">
        <f>IFERROR(IF(($N$4-VLOOKUP(REGISTRO_MAESTRO_m3!X202,DISTRIBUCION_CONTENEDORES!$A$3:$D$530,2) ) &lt; 0,0,($N$4-VLOOKUP(X202,DISTRIBUCION_CONTENEDORES!$A$3:$D$530,2) ) * (M202/VLOOKUP(X202,DISTRIBUCION_CONTENEDORES!$A$3:$D$530,2))),0) *$N$5</f>
        <v>0</v>
      </c>
      <c r="P202" s="194">
        <f t="shared" si="37"/>
        <v>0</v>
      </c>
      <c r="Q202" s="190">
        <f t="shared" si="38"/>
        <v>0</v>
      </c>
      <c r="R202" s="188">
        <f t="shared" si="33"/>
        <v>0</v>
      </c>
      <c r="S202" s="213">
        <v>0</v>
      </c>
      <c r="T202" s="191">
        <f t="shared" si="34"/>
        <v>0</v>
      </c>
      <c r="U202" s="187">
        <f t="shared" si="39"/>
        <v>0</v>
      </c>
      <c r="V202" s="203">
        <f t="shared" si="35"/>
        <v>0</v>
      </c>
      <c r="W202" s="56">
        <f t="shared" si="40"/>
        <v>0</v>
      </c>
      <c r="X202" s="207">
        <v>0</v>
      </c>
      <c r="Y202" s="189">
        <v>0</v>
      </c>
      <c r="Z202" s="189">
        <f t="shared" si="36"/>
        <v>0</v>
      </c>
    </row>
    <row r="203" spans="1:26" x14ac:dyDescent="0.35">
      <c r="A203" s="176">
        <v>235</v>
      </c>
      <c r="B203" s="177"/>
      <c r="C203" s="178"/>
      <c r="D203" s="178"/>
      <c r="E203" s="178"/>
      <c r="F203" s="179"/>
      <c r="G203" s="179"/>
      <c r="H203" s="206"/>
      <c r="I203" s="179"/>
      <c r="J203" s="179"/>
      <c r="K203" s="179"/>
      <c r="L203" s="202">
        <v>0</v>
      </c>
      <c r="M203" s="200">
        <v>0</v>
      </c>
      <c r="N203" s="24">
        <f t="shared" si="32"/>
        <v>0</v>
      </c>
      <c r="O203" s="196">
        <f>IFERROR(IF(($N$4-VLOOKUP(REGISTRO_MAESTRO_m3!X203,DISTRIBUCION_CONTENEDORES!$A$3:$D$530,2) ) &lt; 0,0,($N$4-VLOOKUP(X203,DISTRIBUCION_CONTENEDORES!$A$3:$D$530,2) ) * (M203/VLOOKUP(X203,DISTRIBUCION_CONTENEDORES!$A$3:$D$530,2))),0) *$N$5</f>
        <v>0</v>
      </c>
      <c r="P203" s="194">
        <f t="shared" si="37"/>
        <v>0</v>
      </c>
      <c r="Q203" s="190">
        <f t="shared" si="38"/>
        <v>0</v>
      </c>
      <c r="R203" s="188">
        <f t="shared" si="33"/>
        <v>0</v>
      </c>
      <c r="S203" s="213">
        <v>0</v>
      </c>
      <c r="T203" s="191">
        <f t="shared" si="34"/>
        <v>0</v>
      </c>
      <c r="U203" s="187">
        <f t="shared" si="39"/>
        <v>0</v>
      </c>
      <c r="V203" s="203">
        <f t="shared" si="35"/>
        <v>0</v>
      </c>
      <c r="W203" s="56">
        <f t="shared" si="40"/>
        <v>0</v>
      </c>
      <c r="X203" s="207">
        <v>0</v>
      </c>
      <c r="Y203" s="189">
        <v>0</v>
      </c>
      <c r="Z203" s="189">
        <f t="shared" si="36"/>
        <v>0</v>
      </c>
    </row>
    <row r="204" spans="1:26" x14ac:dyDescent="0.35">
      <c r="A204" s="176">
        <v>236</v>
      </c>
      <c r="B204" s="177"/>
      <c r="C204" s="178"/>
      <c r="D204" s="178"/>
      <c r="E204" s="178"/>
      <c r="F204" s="179"/>
      <c r="G204" s="179"/>
      <c r="H204" s="206"/>
      <c r="I204" s="179"/>
      <c r="J204" s="179"/>
      <c r="K204" s="179"/>
      <c r="L204" s="202">
        <v>0</v>
      </c>
      <c r="M204" s="200">
        <v>0</v>
      </c>
      <c r="N204" s="24">
        <f t="shared" si="32"/>
        <v>0</v>
      </c>
      <c r="O204" s="196">
        <f>IFERROR(IF(($N$4-VLOOKUP(REGISTRO_MAESTRO_m3!X204,DISTRIBUCION_CONTENEDORES!$A$3:$D$530,2) ) &lt; 0,0,($N$4-VLOOKUP(X204,DISTRIBUCION_CONTENEDORES!$A$3:$D$530,2) ) * (M204/VLOOKUP(X204,DISTRIBUCION_CONTENEDORES!$A$3:$D$530,2))),0) *$N$5</f>
        <v>0</v>
      </c>
      <c r="P204" s="194">
        <f t="shared" si="37"/>
        <v>0</v>
      </c>
      <c r="Q204" s="190">
        <f t="shared" si="38"/>
        <v>0</v>
      </c>
      <c r="R204" s="188">
        <f t="shared" si="33"/>
        <v>0</v>
      </c>
      <c r="S204" s="213">
        <v>0</v>
      </c>
      <c r="T204" s="191">
        <f t="shared" si="34"/>
        <v>0</v>
      </c>
      <c r="U204" s="187">
        <f t="shared" si="39"/>
        <v>0</v>
      </c>
      <c r="V204" s="203">
        <f t="shared" si="35"/>
        <v>0</v>
      </c>
      <c r="W204" s="56">
        <f t="shared" si="40"/>
        <v>0</v>
      </c>
      <c r="X204" s="207">
        <v>0</v>
      </c>
      <c r="Y204" s="189">
        <v>0</v>
      </c>
      <c r="Z204" s="189">
        <f t="shared" si="36"/>
        <v>0</v>
      </c>
    </row>
    <row r="205" spans="1:26" x14ac:dyDescent="0.35">
      <c r="A205" s="176">
        <v>237</v>
      </c>
      <c r="B205" s="177"/>
      <c r="C205" s="178"/>
      <c r="D205" s="178"/>
      <c r="E205" s="178"/>
      <c r="F205" s="179"/>
      <c r="G205" s="179"/>
      <c r="H205" s="206"/>
      <c r="I205" s="179"/>
      <c r="J205" s="179"/>
      <c r="K205" s="179"/>
      <c r="L205" s="202">
        <v>0</v>
      </c>
      <c r="M205" s="200">
        <v>0</v>
      </c>
      <c r="N205" s="24">
        <f t="shared" si="32"/>
        <v>0</v>
      </c>
      <c r="O205" s="196">
        <f>IFERROR(IF(($N$4-VLOOKUP(REGISTRO_MAESTRO_m3!X205,DISTRIBUCION_CONTENEDORES!$A$3:$D$530,2) ) &lt; 0,0,($N$4-VLOOKUP(X205,DISTRIBUCION_CONTENEDORES!$A$3:$D$530,2) ) * (M205/VLOOKUP(X205,DISTRIBUCION_CONTENEDORES!$A$3:$D$530,2))),0) *$N$5</f>
        <v>0</v>
      </c>
      <c r="P205" s="194">
        <f t="shared" si="37"/>
        <v>0</v>
      </c>
      <c r="Q205" s="190">
        <f t="shared" si="38"/>
        <v>0</v>
      </c>
      <c r="R205" s="188">
        <f t="shared" si="33"/>
        <v>0</v>
      </c>
      <c r="S205" s="213">
        <v>0</v>
      </c>
      <c r="T205" s="191">
        <f t="shared" si="34"/>
        <v>0</v>
      </c>
      <c r="U205" s="187">
        <f t="shared" si="39"/>
        <v>0</v>
      </c>
      <c r="V205" s="203">
        <f t="shared" si="35"/>
        <v>0</v>
      </c>
      <c r="W205" s="56">
        <f t="shared" si="40"/>
        <v>0</v>
      </c>
      <c r="X205" s="207">
        <v>0</v>
      </c>
      <c r="Y205" s="189">
        <v>0</v>
      </c>
      <c r="Z205" s="189">
        <f t="shared" si="36"/>
        <v>0</v>
      </c>
    </row>
    <row r="206" spans="1:26" x14ac:dyDescent="0.35">
      <c r="A206" s="176">
        <v>238</v>
      </c>
      <c r="B206" s="177"/>
      <c r="C206" s="178"/>
      <c r="D206" s="178"/>
      <c r="E206" s="178"/>
      <c r="F206" s="179"/>
      <c r="G206" s="179"/>
      <c r="H206" s="206"/>
      <c r="I206" s="179"/>
      <c r="J206" s="179"/>
      <c r="K206" s="179"/>
      <c r="L206" s="202">
        <v>0</v>
      </c>
      <c r="M206" s="200">
        <v>0</v>
      </c>
      <c r="N206" s="24">
        <f t="shared" si="32"/>
        <v>0</v>
      </c>
      <c r="O206" s="196">
        <f>IFERROR(IF(($N$4-VLOOKUP(REGISTRO_MAESTRO_m3!X206,DISTRIBUCION_CONTENEDORES!$A$3:$D$530,2) ) &lt; 0,0,($N$4-VLOOKUP(X206,DISTRIBUCION_CONTENEDORES!$A$3:$D$530,2) ) * (M206/VLOOKUP(X206,DISTRIBUCION_CONTENEDORES!$A$3:$D$530,2))),0) *$N$5</f>
        <v>0</v>
      </c>
      <c r="P206" s="194">
        <f t="shared" si="37"/>
        <v>0</v>
      </c>
      <c r="Q206" s="190">
        <f t="shared" si="38"/>
        <v>0</v>
      </c>
      <c r="R206" s="188">
        <f t="shared" si="33"/>
        <v>0</v>
      </c>
      <c r="S206" s="213">
        <v>0</v>
      </c>
      <c r="T206" s="191">
        <f t="shared" si="34"/>
        <v>0</v>
      </c>
      <c r="U206" s="187">
        <f t="shared" si="39"/>
        <v>0</v>
      </c>
      <c r="V206" s="203">
        <f t="shared" si="35"/>
        <v>0</v>
      </c>
      <c r="W206" s="56">
        <f t="shared" si="40"/>
        <v>0</v>
      </c>
      <c r="X206" s="207">
        <v>0</v>
      </c>
      <c r="Y206" s="189">
        <v>0</v>
      </c>
      <c r="Z206" s="189">
        <f t="shared" si="36"/>
        <v>0</v>
      </c>
    </row>
    <row r="207" spans="1:26" x14ac:dyDescent="0.35">
      <c r="A207" s="176">
        <v>239</v>
      </c>
      <c r="B207" s="177"/>
      <c r="C207" s="178"/>
      <c r="D207" s="178"/>
      <c r="E207" s="178"/>
      <c r="F207" s="179"/>
      <c r="G207" s="179"/>
      <c r="H207" s="206"/>
      <c r="I207" s="179"/>
      <c r="J207" s="179"/>
      <c r="K207" s="179"/>
      <c r="L207" s="202">
        <v>0</v>
      </c>
      <c r="M207" s="200">
        <v>0</v>
      </c>
      <c r="N207" s="24">
        <f t="shared" si="32"/>
        <v>0</v>
      </c>
      <c r="O207" s="196">
        <f>IFERROR(IF(($N$4-VLOOKUP(REGISTRO_MAESTRO_m3!X207,DISTRIBUCION_CONTENEDORES!$A$3:$D$530,2) ) &lt; 0,0,($N$4-VLOOKUP(X207,DISTRIBUCION_CONTENEDORES!$A$3:$D$530,2) ) * (M207/VLOOKUP(X207,DISTRIBUCION_CONTENEDORES!$A$3:$D$530,2))),0) *$N$5</f>
        <v>0</v>
      </c>
      <c r="P207" s="194">
        <f t="shared" si="37"/>
        <v>0</v>
      </c>
      <c r="Q207" s="190">
        <f t="shared" si="38"/>
        <v>0</v>
      </c>
      <c r="R207" s="188">
        <f t="shared" si="33"/>
        <v>0</v>
      </c>
      <c r="S207" s="213">
        <v>0</v>
      </c>
      <c r="T207" s="191">
        <f t="shared" si="34"/>
        <v>0</v>
      </c>
      <c r="U207" s="187">
        <f t="shared" si="39"/>
        <v>0</v>
      </c>
      <c r="V207" s="203">
        <f t="shared" si="35"/>
        <v>0</v>
      </c>
      <c r="W207" s="56">
        <f t="shared" si="40"/>
        <v>0</v>
      </c>
      <c r="X207" s="207">
        <v>0</v>
      </c>
      <c r="Y207" s="189">
        <v>0</v>
      </c>
      <c r="Z207" s="189">
        <f t="shared" si="36"/>
        <v>0</v>
      </c>
    </row>
    <row r="208" spans="1:26" x14ac:dyDescent="0.35">
      <c r="A208" s="176">
        <v>240</v>
      </c>
      <c r="B208" s="177"/>
      <c r="C208" s="178"/>
      <c r="D208" s="178"/>
      <c r="E208" s="178"/>
      <c r="F208" s="179"/>
      <c r="G208" s="179"/>
      <c r="H208" s="206"/>
      <c r="I208" s="179"/>
      <c r="J208" s="179"/>
      <c r="K208" s="179"/>
      <c r="L208" s="202">
        <v>0</v>
      </c>
      <c r="M208" s="200">
        <v>0</v>
      </c>
      <c r="N208" s="24">
        <f t="shared" si="32"/>
        <v>0</v>
      </c>
      <c r="O208" s="196">
        <f>IFERROR(IF(($N$4-VLOOKUP(REGISTRO_MAESTRO_m3!X208,DISTRIBUCION_CONTENEDORES!$A$3:$D$530,2) ) &lt; 0,0,($N$4-VLOOKUP(X208,DISTRIBUCION_CONTENEDORES!$A$3:$D$530,2) ) * (M208/VLOOKUP(X208,DISTRIBUCION_CONTENEDORES!$A$3:$D$530,2))),0) *$N$5</f>
        <v>0</v>
      </c>
      <c r="P208" s="194">
        <f t="shared" si="37"/>
        <v>0</v>
      </c>
      <c r="Q208" s="190">
        <f t="shared" si="38"/>
        <v>0</v>
      </c>
      <c r="R208" s="188">
        <f t="shared" si="33"/>
        <v>0</v>
      </c>
      <c r="S208" s="213">
        <v>0</v>
      </c>
      <c r="T208" s="191">
        <f t="shared" si="34"/>
        <v>0</v>
      </c>
      <c r="U208" s="187">
        <f t="shared" si="39"/>
        <v>0</v>
      </c>
      <c r="V208" s="203">
        <f t="shared" si="35"/>
        <v>0</v>
      </c>
      <c r="W208" s="56">
        <f t="shared" si="40"/>
        <v>0</v>
      </c>
      <c r="X208" s="207">
        <v>0</v>
      </c>
      <c r="Y208" s="189">
        <v>0</v>
      </c>
      <c r="Z208" s="189">
        <f t="shared" si="36"/>
        <v>0</v>
      </c>
    </row>
    <row r="209" spans="1:26" x14ac:dyDescent="0.35">
      <c r="A209" s="176">
        <v>241</v>
      </c>
      <c r="B209" s="177"/>
      <c r="C209" s="178"/>
      <c r="D209" s="178"/>
      <c r="E209" s="178"/>
      <c r="F209" s="179"/>
      <c r="G209" s="179"/>
      <c r="H209" s="206"/>
      <c r="I209" s="179"/>
      <c r="J209" s="179"/>
      <c r="K209" s="179"/>
      <c r="L209" s="202">
        <v>0</v>
      </c>
      <c r="M209" s="200">
        <v>0</v>
      </c>
      <c r="N209" s="24">
        <f t="shared" si="32"/>
        <v>0</v>
      </c>
      <c r="O209" s="196">
        <f>IFERROR(IF(($N$4-VLOOKUP(REGISTRO_MAESTRO_m3!X209,DISTRIBUCION_CONTENEDORES!$A$3:$D$530,2) ) &lt; 0,0,($N$4-VLOOKUP(X209,DISTRIBUCION_CONTENEDORES!$A$3:$D$530,2) ) * (M209/VLOOKUP(X209,DISTRIBUCION_CONTENEDORES!$A$3:$D$530,2))),0) *$N$5</f>
        <v>0</v>
      </c>
      <c r="P209" s="194">
        <f t="shared" si="37"/>
        <v>0</v>
      </c>
      <c r="Q209" s="190">
        <f t="shared" si="38"/>
        <v>0</v>
      </c>
      <c r="R209" s="188">
        <f t="shared" si="33"/>
        <v>0</v>
      </c>
      <c r="S209" s="213">
        <v>0</v>
      </c>
      <c r="T209" s="191">
        <f t="shared" si="34"/>
        <v>0</v>
      </c>
      <c r="U209" s="187">
        <f t="shared" si="39"/>
        <v>0</v>
      </c>
      <c r="V209" s="203">
        <f t="shared" si="35"/>
        <v>0</v>
      </c>
      <c r="W209" s="56">
        <f t="shared" si="40"/>
        <v>0</v>
      </c>
      <c r="X209" s="207">
        <v>0</v>
      </c>
      <c r="Y209" s="189">
        <v>0</v>
      </c>
      <c r="Z209" s="189">
        <f t="shared" si="36"/>
        <v>0</v>
      </c>
    </row>
    <row r="210" spans="1:26" x14ac:dyDescent="0.35">
      <c r="A210" s="176">
        <v>242</v>
      </c>
      <c r="B210" s="177"/>
      <c r="C210" s="178"/>
      <c r="D210" s="178"/>
      <c r="E210" s="178"/>
      <c r="F210" s="179"/>
      <c r="G210" s="179"/>
      <c r="H210" s="206"/>
      <c r="I210" s="179"/>
      <c r="J210" s="179"/>
      <c r="K210" s="179"/>
      <c r="L210" s="202">
        <v>0</v>
      </c>
      <c r="M210" s="200">
        <v>0</v>
      </c>
      <c r="N210" s="24">
        <f t="shared" si="32"/>
        <v>0</v>
      </c>
      <c r="O210" s="196">
        <f>IFERROR(IF(($N$4-VLOOKUP(REGISTRO_MAESTRO_m3!X210,DISTRIBUCION_CONTENEDORES!$A$3:$D$530,2) ) &lt; 0,0,($N$4-VLOOKUP(X210,DISTRIBUCION_CONTENEDORES!$A$3:$D$530,2) ) * (M210/VLOOKUP(X210,DISTRIBUCION_CONTENEDORES!$A$3:$D$530,2))),0) *$N$5</f>
        <v>0</v>
      </c>
      <c r="P210" s="194">
        <f t="shared" si="37"/>
        <v>0</v>
      </c>
      <c r="Q210" s="190">
        <f t="shared" si="38"/>
        <v>0</v>
      </c>
      <c r="R210" s="188">
        <f t="shared" si="33"/>
        <v>0</v>
      </c>
      <c r="S210" s="213">
        <v>0</v>
      </c>
      <c r="T210" s="191">
        <f t="shared" si="34"/>
        <v>0</v>
      </c>
      <c r="U210" s="187">
        <f t="shared" si="39"/>
        <v>0</v>
      </c>
      <c r="V210" s="203">
        <f t="shared" si="35"/>
        <v>0</v>
      </c>
      <c r="W210" s="56">
        <f t="shared" si="40"/>
        <v>0</v>
      </c>
      <c r="X210" s="207">
        <v>0</v>
      </c>
      <c r="Y210" s="189">
        <v>0</v>
      </c>
      <c r="Z210" s="189">
        <f t="shared" si="36"/>
        <v>0</v>
      </c>
    </row>
    <row r="211" spans="1:26" x14ac:dyDescent="0.35">
      <c r="A211" s="176">
        <v>243</v>
      </c>
      <c r="B211" s="177"/>
      <c r="C211" s="178"/>
      <c r="D211" s="178"/>
      <c r="E211" s="178"/>
      <c r="F211" s="179"/>
      <c r="G211" s="179"/>
      <c r="H211" s="206"/>
      <c r="I211" s="179"/>
      <c r="J211" s="179"/>
      <c r="K211" s="179"/>
      <c r="L211" s="202">
        <v>0</v>
      </c>
      <c r="M211" s="200">
        <v>0</v>
      </c>
      <c r="N211" s="24">
        <f t="shared" si="32"/>
        <v>0</v>
      </c>
      <c r="O211" s="196">
        <f>IFERROR(IF(($N$4-VLOOKUP(REGISTRO_MAESTRO_m3!X211,DISTRIBUCION_CONTENEDORES!$A$3:$D$530,2) ) &lt; 0,0,($N$4-VLOOKUP(X211,DISTRIBUCION_CONTENEDORES!$A$3:$D$530,2) ) * (M211/VLOOKUP(X211,DISTRIBUCION_CONTENEDORES!$A$3:$D$530,2))),0) *$N$5</f>
        <v>0</v>
      </c>
      <c r="P211" s="194">
        <f t="shared" si="37"/>
        <v>0</v>
      </c>
      <c r="Q211" s="190">
        <f t="shared" si="38"/>
        <v>0</v>
      </c>
      <c r="R211" s="188">
        <f t="shared" si="33"/>
        <v>0</v>
      </c>
      <c r="S211" s="213">
        <v>0</v>
      </c>
      <c r="T211" s="191">
        <f t="shared" si="34"/>
        <v>0</v>
      </c>
      <c r="U211" s="187">
        <f t="shared" si="39"/>
        <v>0</v>
      </c>
      <c r="V211" s="203">
        <f t="shared" si="35"/>
        <v>0</v>
      </c>
      <c r="W211" s="56">
        <f t="shared" si="40"/>
        <v>0</v>
      </c>
      <c r="X211" s="207">
        <v>0</v>
      </c>
      <c r="Y211" s="189">
        <v>0</v>
      </c>
      <c r="Z211" s="189">
        <f t="shared" si="36"/>
        <v>0</v>
      </c>
    </row>
    <row r="212" spans="1:26" x14ac:dyDescent="0.35">
      <c r="A212" s="176">
        <v>244</v>
      </c>
      <c r="B212" s="177"/>
      <c r="C212" s="178"/>
      <c r="D212" s="178"/>
      <c r="E212" s="178"/>
      <c r="F212" s="179"/>
      <c r="G212" s="179"/>
      <c r="H212" s="206"/>
      <c r="I212" s="179"/>
      <c r="J212" s="179"/>
      <c r="K212" s="179"/>
      <c r="L212" s="202">
        <v>0</v>
      </c>
      <c r="M212" s="200">
        <v>0</v>
      </c>
      <c r="N212" s="24">
        <f t="shared" si="32"/>
        <v>0</v>
      </c>
      <c r="O212" s="196">
        <f>IFERROR(IF(($N$4-VLOOKUP(REGISTRO_MAESTRO_m3!X212,DISTRIBUCION_CONTENEDORES!$A$3:$D$530,2) ) &lt; 0,0,($N$4-VLOOKUP(X212,DISTRIBUCION_CONTENEDORES!$A$3:$D$530,2) ) * (M212/VLOOKUP(X212,DISTRIBUCION_CONTENEDORES!$A$3:$D$530,2))),0) *$N$5</f>
        <v>0</v>
      </c>
      <c r="P212" s="194">
        <f t="shared" si="37"/>
        <v>0</v>
      </c>
      <c r="Q212" s="190">
        <f t="shared" si="38"/>
        <v>0</v>
      </c>
      <c r="R212" s="188">
        <f t="shared" si="33"/>
        <v>0</v>
      </c>
      <c r="S212" s="213">
        <v>0</v>
      </c>
      <c r="T212" s="191">
        <f t="shared" si="34"/>
        <v>0</v>
      </c>
      <c r="U212" s="187">
        <f t="shared" si="39"/>
        <v>0</v>
      </c>
      <c r="V212" s="203">
        <f t="shared" si="35"/>
        <v>0</v>
      </c>
      <c r="W212" s="56">
        <f t="shared" si="40"/>
        <v>0</v>
      </c>
      <c r="X212" s="207">
        <v>0</v>
      </c>
      <c r="Y212" s="189">
        <v>0</v>
      </c>
      <c r="Z212" s="189">
        <f t="shared" si="36"/>
        <v>0</v>
      </c>
    </row>
    <row r="213" spans="1:26" x14ac:dyDescent="0.35">
      <c r="A213" s="176">
        <v>245</v>
      </c>
      <c r="B213" s="177"/>
      <c r="C213" s="178"/>
      <c r="D213" s="178"/>
      <c r="E213" s="178"/>
      <c r="F213" s="179"/>
      <c r="G213" s="179"/>
      <c r="H213" s="206"/>
      <c r="I213" s="179"/>
      <c r="J213" s="179"/>
      <c r="K213" s="179"/>
      <c r="L213" s="202">
        <v>0</v>
      </c>
      <c r="M213" s="200">
        <v>0</v>
      </c>
      <c r="N213" s="24">
        <f t="shared" si="32"/>
        <v>0</v>
      </c>
      <c r="O213" s="196">
        <f>IFERROR(IF(($N$4-VLOOKUP(REGISTRO_MAESTRO_m3!X213,DISTRIBUCION_CONTENEDORES!$A$3:$D$530,2) ) &lt; 0,0,($N$4-VLOOKUP(X213,DISTRIBUCION_CONTENEDORES!$A$3:$D$530,2) ) * (M213/VLOOKUP(X213,DISTRIBUCION_CONTENEDORES!$A$3:$D$530,2))),0) *$N$5</f>
        <v>0</v>
      </c>
      <c r="P213" s="194">
        <f t="shared" si="37"/>
        <v>0</v>
      </c>
      <c r="Q213" s="190">
        <f t="shared" si="38"/>
        <v>0</v>
      </c>
      <c r="R213" s="188">
        <f t="shared" si="33"/>
        <v>0</v>
      </c>
      <c r="S213" s="213">
        <v>0</v>
      </c>
      <c r="T213" s="191">
        <f t="shared" si="34"/>
        <v>0</v>
      </c>
      <c r="U213" s="187">
        <f t="shared" si="39"/>
        <v>0</v>
      </c>
      <c r="V213" s="203">
        <f t="shared" si="35"/>
        <v>0</v>
      </c>
      <c r="W213" s="56">
        <f t="shared" si="40"/>
        <v>0</v>
      </c>
      <c r="X213" s="207">
        <v>0</v>
      </c>
      <c r="Y213" s="189">
        <v>0</v>
      </c>
      <c r="Z213" s="189">
        <f t="shared" si="36"/>
        <v>0</v>
      </c>
    </row>
    <row r="214" spans="1:26" x14ac:dyDescent="0.35">
      <c r="A214" s="176">
        <v>246</v>
      </c>
      <c r="B214" s="177"/>
      <c r="C214" s="178"/>
      <c r="D214" s="178"/>
      <c r="E214" s="178"/>
      <c r="F214" s="179"/>
      <c r="G214" s="179"/>
      <c r="H214" s="206"/>
      <c r="I214" s="179"/>
      <c r="J214" s="179"/>
      <c r="K214" s="179"/>
      <c r="L214" s="202">
        <v>0</v>
      </c>
      <c r="M214" s="200">
        <v>0</v>
      </c>
      <c r="N214" s="24">
        <f t="shared" si="32"/>
        <v>0</v>
      </c>
      <c r="O214" s="196">
        <f>IFERROR(IF(($N$4-VLOOKUP(REGISTRO_MAESTRO_m3!X214,DISTRIBUCION_CONTENEDORES!$A$3:$D$530,2) ) &lt; 0,0,($N$4-VLOOKUP(X214,DISTRIBUCION_CONTENEDORES!$A$3:$D$530,2) ) * (M214/VLOOKUP(X214,DISTRIBUCION_CONTENEDORES!$A$3:$D$530,2))),0) *$N$5</f>
        <v>0</v>
      </c>
      <c r="P214" s="194">
        <f t="shared" si="37"/>
        <v>0</v>
      </c>
      <c r="Q214" s="190">
        <f t="shared" si="38"/>
        <v>0</v>
      </c>
      <c r="R214" s="188">
        <f t="shared" si="33"/>
        <v>0</v>
      </c>
      <c r="S214" s="213">
        <v>0</v>
      </c>
      <c r="T214" s="191">
        <f t="shared" si="34"/>
        <v>0</v>
      </c>
      <c r="U214" s="187">
        <f t="shared" si="39"/>
        <v>0</v>
      </c>
      <c r="V214" s="203">
        <f t="shared" si="35"/>
        <v>0</v>
      </c>
      <c r="W214" s="56">
        <f t="shared" si="40"/>
        <v>0</v>
      </c>
      <c r="X214" s="207">
        <v>0</v>
      </c>
      <c r="Y214" s="189">
        <v>0</v>
      </c>
      <c r="Z214" s="189">
        <f t="shared" si="36"/>
        <v>0</v>
      </c>
    </row>
    <row r="215" spans="1:26" x14ac:dyDescent="0.35">
      <c r="A215" s="176">
        <v>247</v>
      </c>
      <c r="B215" s="177"/>
      <c r="C215" s="178"/>
      <c r="D215" s="178"/>
      <c r="E215" s="178"/>
      <c r="F215" s="179"/>
      <c r="G215" s="179"/>
      <c r="H215" s="206"/>
      <c r="I215" s="179"/>
      <c r="J215" s="179"/>
      <c r="K215" s="179"/>
      <c r="L215" s="202">
        <v>0</v>
      </c>
      <c r="M215" s="200">
        <v>0</v>
      </c>
      <c r="N215" s="24">
        <f t="shared" si="32"/>
        <v>0</v>
      </c>
      <c r="O215" s="196">
        <f>IFERROR(IF(($N$4-VLOOKUP(REGISTRO_MAESTRO_m3!X215,DISTRIBUCION_CONTENEDORES!$A$3:$D$530,2) ) &lt; 0,0,($N$4-VLOOKUP(X215,DISTRIBUCION_CONTENEDORES!$A$3:$D$530,2) ) * (M215/VLOOKUP(X215,DISTRIBUCION_CONTENEDORES!$A$3:$D$530,2))),0) *$N$5</f>
        <v>0</v>
      </c>
      <c r="P215" s="194">
        <f t="shared" si="37"/>
        <v>0</v>
      </c>
      <c r="Q215" s="190">
        <f t="shared" si="38"/>
        <v>0</v>
      </c>
      <c r="R215" s="188">
        <f t="shared" si="33"/>
        <v>0</v>
      </c>
      <c r="S215" s="213">
        <v>0</v>
      </c>
      <c r="T215" s="191">
        <f t="shared" si="34"/>
        <v>0</v>
      </c>
      <c r="U215" s="187">
        <f t="shared" si="39"/>
        <v>0</v>
      </c>
      <c r="V215" s="203">
        <f t="shared" si="35"/>
        <v>0</v>
      </c>
      <c r="W215" s="56">
        <f t="shared" si="40"/>
        <v>0</v>
      </c>
      <c r="X215" s="207">
        <v>0</v>
      </c>
      <c r="Y215" s="189">
        <v>0</v>
      </c>
      <c r="Z215" s="189">
        <f t="shared" si="36"/>
        <v>0</v>
      </c>
    </row>
    <row r="216" spans="1:26" x14ac:dyDescent="0.35">
      <c r="A216" s="176">
        <v>248</v>
      </c>
      <c r="B216" s="177"/>
      <c r="C216" s="178"/>
      <c r="D216" s="178"/>
      <c r="E216" s="178"/>
      <c r="F216" s="179"/>
      <c r="G216" s="179"/>
      <c r="H216" s="206"/>
      <c r="I216" s="179"/>
      <c r="J216" s="179"/>
      <c r="K216" s="179"/>
      <c r="L216" s="202">
        <v>0</v>
      </c>
      <c r="M216" s="200">
        <v>0</v>
      </c>
      <c r="N216" s="24">
        <f t="shared" si="32"/>
        <v>0</v>
      </c>
      <c r="O216" s="196">
        <f>IFERROR(IF(($N$4-VLOOKUP(REGISTRO_MAESTRO_m3!X216,DISTRIBUCION_CONTENEDORES!$A$3:$D$530,2) ) &lt; 0,0,($N$4-VLOOKUP(X216,DISTRIBUCION_CONTENEDORES!$A$3:$D$530,2) ) * (M216/VLOOKUP(X216,DISTRIBUCION_CONTENEDORES!$A$3:$D$530,2))),0) *$N$5</f>
        <v>0</v>
      </c>
      <c r="P216" s="194">
        <f t="shared" si="37"/>
        <v>0</v>
      </c>
      <c r="Q216" s="190">
        <f t="shared" si="38"/>
        <v>0</v>
      </c>
      <c r="R216" s="188">
        <f t="shared" si="33"/>
        <v>0</v>
      </c>
      <c r="S216" s="213">
        <v>0</v>
      </c>
      <c r="T216" s="191">
        <f t="shared" si="34"/>
        <v>0</v>
      </c>
      <c r="U216" s="187">
        <f t="shared" si="39"/>
        <v>0</v>
      </c>
      <c r="V216" s="203">
        <f t="shared" si="35"/>
        <v>0</v>
      </c>
      <c r="W216" s="56">
        <f t="shared" si="40"/>
        <v>0</v>
      </c>
      <c r="X216" s="207">
        <v>0</v>
      </c>
      <c r="Y216" s="189">
        <v>0</v>
      </c>
      <c r="Z216" s="189">
        <f t="shared" si="36"/>
        <v>0</v>
      </c>
    </row>
    <row r="217" spans="1:26" x14ac:dyDescent="0.35">
      <c r="A217" s="176">
        <v>249</v>
      </c>
      <c r="B217" s="177"/>
      <c r="C217" s="178"/>
      <c r="D217" s="178"/>
      <c r="E217" s="178"/>
      <c r="F217" s="179"/>
      <c r="G217" s="179"/>
      <c r="H217" s="206"/>
      <c r="I217" s="179"/>
      <c r="J217" s="179"/>
      <c r="K217" s="179"/>
      <c r="L217" s="202">
        <v>0</v>
      </c>
      <c r="M217" s="200">
        <v>0</v>
      </c>
      <c r="N217" s="24">
        <f t="shared" si="32"/>
        <v>0</v>
      </c>
      <c r="O217" s="196">
        <f>IFERROR(IF(($N$4-VLOOKUP(REGISTRO_MAESTRO_m3!X217,DISTRIBUCION_CONTENEDORES!$A$3:$D$530,2) ) &lt; 0,0,($N$4-VLOOKUP(X217,DISTRIBUCION_CONTENEDORES!$A$3:$D$530,2) ) * (M217/VLOOKUP(X217,DISTRIBUCION_CONTENEDORES!$A$3:$D$530,2))),0) *$N$5</f>
        <v>0</v>
      </c>
      <c r="P217" s="194">
        <f t="shared" si="37"/>
        <v>0</v>
      </c>
      <c r="Q217" s="190">
        <f t="shared" si="38"/>
        <v>0</v>
      </c>
      <c r="R217" s="188">
        <f t="shared" si="33"/>
        <v>0</v>
      </c>
      <c r="S217" s="213">
        <v>0</v>
      </c>
      <c r="T217" s="191">
        <f t="shared" si="34"/>
        <v>0</v>
      </c>
      <c r="U217" s="187">
        <f t="shared" si="39"/>
        <v>0</v>
      </c>
      <c r="V217" s="203">
        <f t="shared" si="35"/>
        <v>0</v>
      </c>
      <c r="W217" s="56">
        <f t="shared" si="40"/>
        <v>0</v>
      </c>
      <c r="X217" s="207">
        <v>0</v>
      </c>
      <c r="Y217" s="189">
        <v>0</v>
      </c>
      <c r="Z217" s="189">
        <f t="shared" si="36"/>
        <v>0</v>
      </c>
    </row>
    <row r="218" spans="1:26" x14ac:dyDescent="0.35">
      <c r="A218" s="176">
        <v>250</v>
      </c>
      <c r="B218" s="177"/>
      <c r="C218" s="178"/>
      <c r="D218" s="178"/>
      <c r="E218" s="178"/>
      <c r="F218" s="179"/>
      <c r="G218" s="179"/>
      <c r="H218" s="206"/>
      <c r="I218" s="179"/>
      <c r="J218" s="179"/>
      <c r="K218" s="179"/>
      <c r="L218" s="202">
        <v>0</v>
      </c>
      <c r="M218" s="200">
        <v>0</v>
      </c>
      <c r="N218" s="24">
        <f t="shared" si="32"/>
        <v>0</v>
      </c>
      <c r="O218" s="196">
        <f>IFERROR(IF(($N$4-VLOOKUP(REGISTRO_MAESTRO_m3!X218,DISTRIBUCION_CONTENEDORES!$A$3:$D$530,2) ) &lt; 0,0,($N$4-VLOOKUP(X218,DISTRIBUCION_CONTENEDORES!$A$3:$D$530,2) ) * (M218/VLOOKUP(X218,DISTRIBUCION_CONTENEDORES!$A$3:$D$530,2))),0) *$N$5</f>
        <v>0</v>
      </c>
      <c r="P218" s="194">
        <f t="shared" si="37"/>
        <v>0</v>
      </c>
      <c r="Q218" s="190">
        <f t="shared" si="38"/>
        <v>0</v>
      </c>
      <c r="R218" s="188">
        <f t="shared" si="33"/>
        <v>0</v>
      </c>
      <c r="S218" s="213">
        <v>0</v>
      </c>
      <c r="T218" s="191">
        <f t="shared" si="34"/>
        <v>0</v>
      </c>
      <c r="U218" s="187">
        <f t="shared" si="39"/>
        <v>0</v>
      </c>
      <c r="V218" s="203">
        <f t="shared" si="35"/>
        <v>0</v>
      </c>
      <c r="W218" s="56">
        <f t="shared" si="40"/>
        <v>0</v>
      </c>
      <c r="X218" s="207">
        <v>0</v>
      </c>
      <c r="Y218" s="189">
        <v>0</v>
      </c>
      <c r="Z218" s="189">
        <f t="shared" si="36"/>
        <v>0</v>
      </c>
    </row>
    <row r="219" spans="1:26" x14ac:dyDescent="0.35">
      <c r="A219" s="176">
        <v>251</v>
      </c>
      <c r="B219" s="177"/>
      <c r="C219" s="178"/>
      <c r="D219" s="178"/>
      <c r="E219" s="178"/>
      <c r="F219" s="179"/>
      <c r="G219" s="179"/>
      <c r="H219" s="206"/>
      <c r="I219" s="179"/>
      <c r="J219" s="179"/>
      <c r="K219" s="179"/>
      <c r="L219" s="202">
        <v>0</v>
      </c>
      <c r="M219" s="200">
        <v>0</v>
      </c>
      <c r="N219" s="24">
        <f t="shared" si="32"/>
        <v>0</v>
      </c>
      <c r="O219" s="196">
        <f>IFERROR(IF(($N$4-VLOOKUP(REGISTRO_MAESTRO_m3!X219,DISTRIBUCION_CONTENEDORES!$A$3:$D$530,2) ) &lt; 0,0,($N$4-VLOOKUP(X219,DISTRIBUCION_CONTENEDORES!$A$3:$D$530,2) ) * (M219/VLOOKUP(X219,DISTRIBUCION_CONTENEDORES!$A$3:$D$530,2))),0) *$N$5</f>
        <v>0</v>
      </c>
      <c r="P219" s="194">
        <f t="shared" si="37"/>
        <v>0</v>
      </c>
      <c r="Q219" s="190">
        <f t="shared" si="38"/>
        <v>0</v>
      </c>
      <c r="R219" s="188">
        <f t="shared" si="33"/>
        <v>0</v>
      </c>
      <c r="S219" s="213">
        <v>0</v>
      </c>
      <c r="T219" s="191">
        <f t="shared" si="34"/>
        <v>0</v>
      </c>
      <c r="U219" s="187">
        <f t="shared" si="39"/>
        <v>0</v>
      </c>
      <c r="V219" s="203">
        <f t="shared" si="35"/>
        <v>0</v>
      </c>
      <c r="W219" s="56">
        <f t="shared" si="40"/>
        <v>0</v>
      </c>
      <c r="X219" s="207">
        <v>0</v>
      </c>
      <c r="Y219" s="189">
        <v>0</v>
      </c>
      <c r="Z219" s="189">
        <f t="shared" si="36"/>
        <v>0</v>
      </c>
    </row>
    <row r="220" spans="1:26" x14ac:dyDescent="0.35">
      <c r="A220" s="176">
        <v>252</v>
      </c>
      <c r="B220" s="177"/>
      <c r="C220" s="178"/>
      <c r="D220" s="178"/>
      <c r="E220" s="178"/>
      <c r="F220" s="179"/>
      <c r="G220" s="179"/>
      <c r="H220" s="206"/>
      <c r="I220" s="179"/>
      <c r="J220" s="179"/>
      <c r="K220" s="179"/>
      <c r="L220" s="202">
        <v>0</v>
      </c>
      <c r="M220" s="200">
        <v>0</v>
      </c>
      <c r="N220" s="24">
        <f t="shared" si="32"/>
        <v>0</v>
      </c>
      <c r="O220" s="196">
        <f>IFERROR(IF(($N$4-VLOOKUP(REGISTRO_MAESTRO_m3!X220,DISTRIBUCION_CONTENEDORES!$A$3:$D$530,2) ) &lt; 0,0,($N$4-VLOOKUP(X220,DISTRIBUCION_CONTENEDORES!$A$3:$D$530,2) ) * (M220/VLOOKUP(X220,DISTRIBUCION_CONTENEDORES!$A$3:$D$530,2))),0) *$N$5</f>
        <v>0</v>
      </c>
      <c r="P220" s="194">
        <f t="shared" si="37"/>
        <v>0</v>
      </c>
      <c r="Q220" s="190">
        <f t="shared" si="38"/>
        <v>0</v>
      </c>
      <c r="R220" s="188">
        <f t="shared" si="33"/>
        <v>0</v>
      </c>
      <c r="S220" s="213">
        <v>0</v>
      </c>
      <c r="T220" s="191">
        <f t="shared" si="34"/>
        <v>0</v>
      </c>
      <c r="U220" s="187">
        <f t="shared" si="39"/>
        <v>0</v>
      </c>
      <c r="V220" s="203">
        <f t="shared" si="35"/>
        <v>0</v>
      </c>
      <c r="W220" s="56">
        <f t="shared" si="40"/>
        <v>0</v>
      </c>
      <c r="X220" s="207">
        <v>0</v>
      </c>
      <c r="Y220" s="189">
        <v>0</v>
      </c>
      <c r="Z220" s="189">
        <f t="shared" si="36"/>
        <v>0</v>
      </c>
    </row>
    <row r="221" spans="1:26" x14ac:dyDescent="0.35">
      <c r="A221" s="176">
        <v>253</v>
      </c>
      <c r="B221" s="177"/>
      <c r="C221" s="178"/>
      <c r="D221" s="178"/>
      <c r="E221" s="178"/>
      <c r="F221" s="179"/>
      <c r="G221" s="179"/>
      <c r="H221" s="206"/>
      <c r="I221" s="179"/>
      <c r="J221" s="179"/>
      <c r="K221" s="179"/>
      <c r="L221" s="202">
        <v>0</v>
      </c>
      <c r="M221" s="200">
        <v>0</v>
      </c>
      <c r="N221" s="24">
        <f t="shared" si="32"/>
        <v>0</v>
      </c>
      <c r="O221" s="196">
        <f>IFERROR(IF(($N$4-VLOOKUP(REGISTRO_MAESTRO_m3!X221,DISTRIBUCION_CONTENEDORES!$A$3:$D$530,2) ) &lt; 0,0,($N$4-VLOOKUP(X221,DISTRIBUCION_CONTENEDORES!$A$3:$D$530,2) ) * (M221/VLOOKUP(X221,DISTRIBUCION_CONTENEDORES!$A$3:$D$530,2))),0) *$N$5</f>
        <v>0</v>
      </c>
      <c r="P221" s="194">
        <f t="shared" si="37"/>
        <v>0</v>
      </c>
      <c r="Q221" s="190">
        <f t="shared" si="38"/>
        <v>0</v>
      </c>
      <c r="R221" s="188">
        <f t="shared" si="33"/>
        <v>0</v>
      </c>
      <c r="S221" s="213">
        <v>0</v>
      </c>
      <c r="T221" s="191">
        <f t="shared" si="34"/>
        <v>0</v>
      </c>
      <c r="U221" s="187">
        <f t="shared" si="39"/>
        <v>0</v>
      </c>
      <c r="V221" s="203">
        <f t="shared" si="35"/>
        <v>0</v>
      </c>
      <c r="W221" s="56">
        <f t="shared" si="40"/>
        <v>0</v>
      </c>
      <c r="X221" s="207">
        <v>0</v>
      </c>
      <c r="Y221" s="189">
        <v>0</v>
      </c>
      <c r="Z221" s="189">
        <f t="shared" si="36"/>
        <v>0</v>
      </c>
    </row>
    <row r="222" spans="1:26" x14ac:dyDescent="0.35">
      <c r="A222" s="176">
        <v>254</v>
      </c>
      <c r="B222" s="177"/>
      <c r="C222" s="178"/>
      <c r="D222" s="178"/>
      <c r="E222" s="178"/>
      <c r="F222" s="179"/>
      <c r="G222" s="179"/>
      <c r="H222" s="206"/>
      <c r="I222" s="179"/>
      <c r="J222" s="179"/>
      <c r="K222" s="179"/>
      <c r="L222" s="202">
        <v>0</v>
      </c>
      <c r="M222" s="200">
        <v>0</v>
      </c>
      <c r="N222" s="24">
        <f t="shared" si="32"/>
        <v>0</v>
      </c>
      <c r="O222" s="196">
        <f>IFERROR(IF(($N$4-VLOOKUP(REGISTRO_MAESTRO_m3!X222,DISTRIBUCION_CONTENEDORES!$A$3:$D$530,2) ) &lt; 0,0,($N$4-VLOOKUP(X222,DISTRIBUCION_CONTENEDORES!$A$3:$D$530,2) ) * (M222/VLOOKUP(X222,DISTRIBUCION_CONTENEDORES!$A$3:$D$530,2))),0) *$N$5</f>
        <v>0</v>
      </c>
      <c r="P222" s="194">
        <f t="shared" si="37"/>
        <v>0</v>
      </c>
      <c r="Q222" s="190">
        <f t="shared" si="38"/>
        <v>0</v>
      </c>
      <c r="R222" s="188">
        <f t="shared" si="33"/>
        <v>0</v>
      </c>
      <c r="S222" s="213">
        <v>0</v>
      </c>
      <c r="T222" s="191">
        <f t="shared" si="34"/>
        <v>0</v>
      </c>
      <c r="U222" s="187">
        <f t="shared" si="39"/>
        <v>0</v>
      </c>
      <c r="V222" s="203">
        <f t="shared" si="35"/>
        <v>0</v>
      </c>
      <c r="W222" s="56">
        <f t="shared" si="40"/>
        <v>0</v>
      </c>
      <c r="X222" s="207">
        <v>0</v>
      </c>
      <c r="Y222" s="189">
        <v>0</v>
      </c>
      <c r="Z222" s="189">
        <f t="shared" si="36"/>
        <v>0</v>
      </c>
    </row>
    <row r="223" spans="1:26" x14ac:dyDescent="0.35">
      <c r="A223" s="176">
        <v>255</v>
      </c>
      <c r="B223" s="177"/>
      <c r="C223" s="178"/>
      <c r="D223" s="178"/>
      <c r="E223" s="178"/>
      <c r="F223" s="179"/>
      <c r="G223" s="179"/>
      <c r="H223" s="206"/>
      <c r="I223" s="179"/>
      <c r="J223" s="179"/>
      <c r="K223" s="179"/>
      <c r="L223" s="202">
        <v>0</v>
      </c>
      <c r="M223" s="200">
        <v>0</v>
      </c>
      <c r="N223" s="24">
        <f t="shared" si="32"/>
        <v>0</v>
      </c>
      <c r="O223" s="196">
        <f>IFERROR(IF(($N$4-VLOOKUP(REGISTRO_MAESTRO_m3!X223,DISTRIBUCION_CONTENEDORES!$A$3:$D$530,2) ) &lt; 0,0,($N$4-VLOOKUP(X223,DISTRIBUCION_CONTENEDORES!$A$3:$D$530,2) ) * (M223/VLOOKUP(X223,DISTRIBUCION_CONTENEDORES!$A$3:$D$530,2))),0) *$N$5</f>
        <v>0</v>
      </c>
      <c r="P223" s="194">
        <f t="shared" si="37"/>
        <v>0</v>
      </c>
      <c r="Q223" s="190">
        <f t="shared" si="38"/>
        <v>0</v>
      </c>
      <c r="R223" s="188">
        <f t="shared" si="33"/>
        <v>0</v>
      </c>
      <c r="S223" s="213">
        <v>0</v>
      </c>
      <c r="T223" s="191">
        <f t="shared" si="34"/>
        <v>0</v>
      </c>
      <c r="U223" s="187">
        <f t="shared" si="39"/>
        <v>0</v>
      </c>
      <c r="V223" s="203">
        <f t="shared" si="35"/>
        <v>0</v>
      </c>
      <c r="W223" s="56">
        <f t="shared" si="40"/>
        <v>0</v>
      </c>
      <c r="X223" s="207">
        <v>0</v>
      </c>
      <c r="Y223" s="189">
        <v>0</v>
      </c>
      <c r="Z223" s="189">
        <f t="shared" si="36"/>
        <v>0</v>
      </c>
    </row>
    <row r="224" spans="1:26" x14ac:dyDescent="0.35">
      <c r="A224" s="176">
        <v>256</v>
      </c>
      <c r="B224" s="177"/>
      <c r="C224" s="178"/>
      <c r="D224" s="178"/>
      <c r="E224" s="178"/>
      <c r="F224" s="179"/>
      <c r="G224" s="179"/>
      <c r="H224" s="206"/>
      <c r="I224" s="179"/>
      <c r="J224" s="179"/>
      <c r="K224" s="179"/>
      <c r="L224" s="202">
        <v>0</v>
      </c>
      <c r="M224" s="200">
        <v>0</v>
      </c>
      <c r="N224" s="24">
        <f t="shared" si="32"/>
        <v>0</v>
      </c>
      <c r="O224" s="196">
        <f>IFERROR(IF(($N$4-VLOOKUP(REGISTRO_MAESTRO_m3!X224,DISTRIBUCION_CONTENEDORES!$A$3:$D$530,2) ) &lt; 0,0,($N$4-VLOOKUP(X224,DISTRIBUCION_CONTENEDORES!$A$3:$D$530,2) ) * (M224/VLOOKUP(X224,DISTRIBUCION_CONTENEDORES!$A$3:$D$530,2))),0) *$N$5</f>
        <v>0</v>
      </c>
      <c r="P224" s="194">
        <f t="shared" si="37"/>
        <v>0</v>
      </c>
      <c r="Q224" s="190">
        <f t="shared" si="38"/>
        <v>0</v>
      </c>
      <c r="R224" s="188">
        <f t="shared" si="33"/>
        <v>0</v>
      </c>
      <c r="S224" s="213">
        <v>0</v>
      </c>
      <c r="T224" s="191">
        <f t="shared" si="34"/>
        <v>0</v>
      </c>
      <c r="U224" s="187">
        <f t="shared" si="39"/>
        <v>0</v>
      </c>
      <c r="V224" s="203">
        <f t="shared" si="35"/>
        <v>0</v>
      </c>
      <c r="W224" s="56">
        <f t="shared" si="40"/>
        <v>0</v>
      </c>
      <c r="X224" s="207">
        <v>0</v>
      </c>
      <c r="Y224" s="189">
        <v>0</v>
      </c>
      <c r="Z224" s="189">
        <f t="shared" si="36"/>
        <v>0</v>
      </c>
    </row>
    <row r="225" spans="1:26" x14ac:dyDescent="0.35">
      <c r="A225" s="176">
        <v>257</v>
      </c>
      <c r="B225" s="177"/>
      <c r="C225" s="178"/>
      <c r="D225" s="178"/>
      <c r="E225" s="178"/>
      <c r="F225" s="179"/>
      <c r="G225" s="179"/>
      <c r="H225" s="206"/>
      <c r="I225" s="179"/>
      <c r="J225" s="179"/>
      <c r="K225" s="179"/>
      <c r="L225" s="202">
        <v>0</v>
      </c>
      <c r="M225" s="200">
        <v>0</v>
      </c>
      <c r="N225" s="24">
        <f t="shared" si="32"/>
        <v>0</v>
      </c>
      <c r="O225" s="196">
        <f>IFERROR(IF(($N$4-VLOOKUP(REGISTRO_MAESTRO_m3!X225,DISTRIBUCION_CONTENEDORES!$A$3:$D$530,2) ) &lt; 0,0,($N$4-VLOOKUP(X225,DISTRIBUCION_CONTENEDORES!$A$3:$D$530,2) ) * (M225/VLOOKUP(X225,DISTRIBUCION_CONTENEDORES!$A$3:$D$530,2))),0) *$N$5</f>
        <v>0</v>
      </c>
      <c r="P225" s="194">
        <f t="shared" si="37"/>
        <v>0</v>
      </c>
      <c r="Q225" s="190">
        <f t="shared" si="38"/>
        <v>0</v>
      </c>
      <c r="R225" s="188">
        <f t="shared" si="33"/>
        <v>0</v>
      </c>
      <c r="S225" s="213">
        <v>0</v>
      </c>
      <c r="T225" s="191">
        <f t="shared" si="34"/>
        <v>0</v>
      </c>
      <c r="U225" s="187">
        <f t="shared" si="39"/>
        <v>0</v>
      </c>
      <c r="V225" s="203">
        <f t="shared" si="35"/>
        <v>0</v>
      </c>
      <c r="W225" s="56">
        <f t="shared" si="40"/>
        <v>0</v>
      </c>
      <c r="X225" s="207">
        <v>0</v>
      </c>
      <c r="Y225" s="189">
        <v>0</v>
      </c>
      <c r="Z225" s="189">
        <f t="shared" si="36"/>
        <v>0</v>
      </c>
    </row>
    <row r="226" spans="1:26" x14ac:dyDescent="0.35">
      <c r="A226" s="176">
        <v>258</v>
      </c>
      <c r="B226" s="177"/>
      <c r="C226" s="178"/>
      <c r="D226" s="178"/>
      <c r="E226" s="178"/>
      <c r="F226" s="179"/>
      <c r="G226" s="179"/>
      <c r="H226" s="206"/>
      <c r="I226" s="179"/>
      <c r="J226" s="179"/>
      <c r="K226" s="179"/>
      <c r="L226" s="202">
        <v>0</v>
      </c>
      <c r="M226" s="200">
        <v>0</v>
      </c>
      <c r="N226" s="24">
        <f t="shared" si="32"/>
        <v>0</v>
      </c>
      <c r="O226" s="196">
        <f>IFERROR(IF(($N$4-VLOOKUP(REGISTRO_MAESTRO_m3!X226,DISTRIBUCION_CONTENEDORES!$A$3:$D$530,2) ) &lt; 0,0,($N$4-VLOOKUP(X226,DISTRIBUCION_CONTENEDORES!$A$3:$D$530,2) ) * (M226/VLOOKUP(X226,DISTRIBUCION_CONTENEDORES!$A$3:$D$530,2))),0) *$N$5</f>
        <v>0</v>
      </c>
      <c r="P226" s="194">
        <f t="shared" si="37"/>
        <v>0</v>
      </c>
      <c r="Q226" s="190">
        <f t="shared" si="38"/>
        <v>0</v>
      </c>
      <c r="R226" s="188">
        <f t="shared" si="33"/>
        <v>0</v>
      </c>
      <c r="S226" s="213">
        <v>0</v>
      </c>
      <c r="T226" s="191">
        <f t="shared" si="34"/>
        <v>0</v>
      </c>
      <c r="U226" s="187">
        <f t="shared" si="39"/>
        <v>0</v>
      </c>
      <c r="V226" s="203">
        <f t="shared" si="35"/>
        <v>0</v>
      </c>
      <c r="W226" s="56">
        <f t="shared" si="40"/>
        <v>0</v>
      </c>
      <c r="X226" s="207">
        <v>0</v>
      </c>
      <c r="Y226" s="189">
        <v>0</v>
      </c>
      <c r="Z226" s="189">
        <f t="shared" si="36"/>
        <v>0</v>
      </c>
    </row>
    <row r="227" spans="1:26" x14ac:dyDescent="0.35">
      <c r="A227" s="176">
        <v>259</v>
      </c>
      <c r="B227" s="177"/>
      <c r="C227" s="178"/>
      <c r="D227" s="178"/>
      <c r="E227" s="178"/>
      <c r="F227" s="179"/>
      <c r="G227" s="179"/>
      <c r="H227" s="206"/>
      <c r="I227" s="179"/>
      <c r="J227" s="179"/>
      <c r="K227" s="179"/>
      <c r="L227" s="202">
        <v>0</v>
      </c>
      <c r="M227" s="200">
        <v>0</v>
      </c>
      <c r="N227" s="24">
        <f t="shared" ref="N227:N290" si="41">PRODUCT(M227,$N$5)</f>
        <v>0</v>
      </c>
      <c r="O227" s="196">
        <f>IFERROR(IF(($N$4-VLOOKUP(REGISTRO_MAESTRO_m3!X227,DISTRIBUCION_CONTENEDORES!$A$3:$D$530,2) ) &lt; 0,0,($N$4-VLOOKUP(X227,DISTRIBUCION_CONTENEDORES!$A$3:$D$530,2) ) * (M227/VLOOKUP(X227,DISTRIBUCION_CONTENEDORES!$A$3:$D$530,2))),0) *$N$5</f>
        <v>0</v>
      </c>
      <c r="P227" s="194">
        <f t="shared" si="37"/>
        <v>0</v>
      </c>
      <c r="Q227" s="190">
        <f t="shared" si="38"/>
        <v>0</v>
      </c>
      <c r="R227" s="188">
        <f t="shared" ref="R227:R290" si="42">IFERROR(S227/$N$5,0)</f>
        <v>0</v>
      </c>
      <c r="S227" s="213">
        <v>0</v>
      </c>
      <c r="T227" s="191">
        <f t="shared" ref="T227:T290" si="43">U227/$N$5</f>
        <v>0</v>
      </c>
      <c r="U227" s="187">
        <f t="shared" si="39"/>
        <v>0</v>
      </c>
      <c r="V227" s="203">
        <f t="shared" ref="V227:V290" si="44">U227/$N$6</f>
        <v>0</v>
      </c>
      <c r="W227" s="56">
        <f t="shared" si="40"/>
        <v>0</v>
      </c>
      <c r="X227" s="207">
        <v>0</v>
      </c>
      <c r="Y227" s="189">
        <v>0</v>
      </c>
      <c r="Z227" s="189">
        <f t="shared" ref="Z227:Z290" si="45">Y227*4.75*668</f>
        <v>0</v>
      </c>
    </row>
    <row r="228" spans="1:26" x14ac:dyDescent="0.35">
      <c r="A228" s="176">
        <v>260</v>
      </c>
      <c r="B228" s="177"/>
      <c r="C228" s="178"/>
      <c r="D228" s="178"/>
      <c r="E228" s="178"/>
      <c r="F228" s="179"/>
      <c r="G228" s="179"/>
      <c r="H228" s="206"/>
      <c r="I228" s="179"/>
      <c r="J228" s="179"/>
      <c r="K228" s="179"/>
      <c r="L228" s="202">
        <v>0</v>
      </c>
      <c r="M228" s="200">
        <v>0</v>
      </c>
      <c r="N228" s="24">
        <f t="shared" si="41"/>
        <v>0</v>
      </c>
      <c r="O228" s="196">
        <f>IFERROR(IF(($N$4-VLOOKUP(REGISTRO_MAESTRO_m3!X228,DISTRIBUCION_CONTENEDORES!$A$3:$D$530,2) ) &lt; 0,0,($N$4-VLOOKUP(X228,DISTRIBUCION_CONTENEDORES!$A$3:$D$530,2) ) * (M228/VLOOKUP(X228,DISTRIBUCION_CONTENEDORES!$A$3:$D$530,2))),0) *$N$5</f>
        <v>0</v>
      </c>
      <c r="P228" s="194">
        <f t="shared" si="37"/>
        <v>0</v>
      </c>
      <c r="Q228" s="190">
        <f t="shared" si="38"/>
        <v>0</v>
      </c>
      <c r="R228" s="188">
        <f t="shared" si="42"/>
        <v>0</v>
      </c>
      <c r="S228" s="213">
        <v>0</v>
      </c>
      <c r="T228" s="191">
        <f t="shared" si="43"/>
        <v>0</v>
      </c>
      <c r="U228" s="187">
        <f t="shared" si="39"/>
        <v>0</v>
      </c>
      <c r="V228" s="203">
        <f t="shared" si="44"/>
        <v>0</v>
      </c>
      <c r="W228" s="56">
        <f t="shared" si="40"/>
        <v>0</v>
      </c>
      <c r="X228" s="207">
        <v>0</v>
      </c>
      <c r="Y228" s="189">
        <v>0</v>
      </c>
      <c r="Z228" s="189">
        <f t="shared" si="45"/>
        <v>0</v>
      </c>
    </row>
    <row r="229" spans="1:26" x14ac:dyDescent="0.35">
      <c r="A229" s="176">
        <v>261</v>
      </c>
      <c r="B229" s="177"/>
      <c r="C229" s="178"/>
      <c r="D229" s="178"/>
      <c r="E229" s="178"/>
      <c r="F229" s="179"/>
      <c r="G229" s="179"/>
      <c r="H229" s="206"/>
      <c r="I229" s="179"/>
      <c r="J229" s="179"/>
      <c r="K229" s="179"/>
      <c r="L229" s="202">
        <v>0</v>
      </c>
      <c r="M229" s="200">
        <v>0</v>
      </c>
      <c r="N229" s="24">
        <f t="shared" si="41"/>
        <v>0</v>
      </c>
      <c r="O229" s="196">
        <f>IFERROR(IF(($N$4-VLOOKUP(REGISTRO_MAESTRO_m3!X229,DISTRIBUCION_CONTENEDORES!$A$3:$D$530,2) ) &lt; 0,0,($N$4-VLOOKUP(X229,DISTRIBUCION_CONTENEDORES!$A$3:$D$530,2) ) * (M229/VLOOKUP(X229,DISTRIBUCION_CONTENEDORES!$A$3:$D$530,2))),0) *$N$5</f>
        <v>0</v>
      </c>
      <c r="P229" s="194">
        <f t="shared" si="37"/>
        <v>0</v>
      </c>
      <c r="Q229" s="190">
        <f t="shared" si="38"/>
        <v>0</v>
      </c>
      <c r="R229" s="188">
        <f t="shared" si="42"/>
        <v>0</v>
      </c>
      <c r="S229" s="213">
        <v>0</v>
      </c>
      <c r="T229" s="191">
        <f t="shared" si="43"/>
        <v>0</v>
      </c>
      <c r="U229" s="187">
        <f t="shared" si="39"/>
        <v>0</v>
      </c>
      <c r="V229" s="203">
        <f t="shared" si="44"/>
        <v>0</v>
      </c>
      <c r="W229" s="56">
        <f t="shared" si="40"/>
        <v>0</v>
      </c>
      <c r="X229" s="207">
        <v>0</v>
      </c>
      <c r="Y229" s="189">
        <v>0</v>
      </c>
      <c r="Z229" s="189">
        <f t="shared" si="45"/>
        <v>0</v>
      </c>
    </row>
    <row r="230" spans="1:26" x14ac:dyDescent="0.35">
      <c r="A230" s="176">
        <v>262</v>
      </c>
      <c r="B230" s="177"/>
      <c r="C230" s="178"/>
      <c r="D230" s="178"/>
      <c r="E230" s="178"/>
      <c r="F230" s="179"/>
      <c r="G230" s="179"/>
      <c r="H230" s="206"/>
      <c r="I230" s="179"/>
      <c r="J230" s="179"/>
      <c r="K230" s="179"/>
      <c r="L230" s="202">
        <v>0</v>
      </c>
      <c r="M230" s="200">
        <v>0</v>
      </c>
      <c r="N230" s="24">
        <f t="shared" si="41"/>
        <v>0</v>
      </c>
      <c r="O230" s="196">
        <f>IFERROR(IF(($N$4-VLOOKUP(REGISTRO_MAESTRO_m3!X230,DISTRIBUCION_CONTENEDORES!$A$3:$D$530,2) ) &lt; 0,0,($N$4-VLOOKUP(X230,DISTRIBUCION_CONTENEDORES!$A$3:$D$530,2) ) * (M230/VLOOKUP(X230,DISTRIBUCION_CONTENEDORES!$A$3:$D$530,2))),0) *$N$5</f>
        <v>0</v>
      </c>
      <c r="P230" s="194">
        <f t="shared" si="37"/>
        <v>0</v>
      </c>
      <c r="Q230" s="190">
        <f t="shared" si="38"/>
        <v>0</v>
      </c>
      <c r="R230" s="188">
        <f t="shared" si="42"/>
        <v>0</v>
      </c>
      <c r="S230" s="213">
        <v>0</v>
      </c>
      <c r="T230" s="191">
        <f t="shared" si="43"/>
        <v>0</v>
      </c>
      <c r="U230" s="187">
        <f t="shared" si="39"/>
        <v>0</v>
      </c>
      <c r="V230" s="203">
        <f t="shared" si="44"/>
        <v>0</v>
      </c>
      <c r="W230" s="56">
        <f t="shared" si="40"/>
        <v>0</v>
      </c>
      <c r="X230" s="207">
        <v>0</v>
      </c>
      <c r="Y230" s="189">
        <v>0</v>
      </c>
      <c r="Z230" s="189">
        <f t="shared" si="45"/>
        <v>0</v>
      </c>
    </row>
    <row r="231" spans="1:26" x14ac:dyDescent="0.35">
      <c r="A231" s="176">
        <v>263</v>
      </c>
      <c r="B231" s="177"/>
      <c r="C231" s="178"/>
      <c r="D231" s="178"/>
      <c r="E231" s="178"/>
      <c r="F231" s="179"/>
      <c r="G231" s="179"/>
      <c r="H231" s="206"/>
      <c r="I231" s="179"/>
      <c r="J231" s="179"/>
      <c r="K231" s="179"/>
      <c r="L231" s="202">
        <v>0</v>
      </c>
      <c r="M231" s="200">
        <v>0</v>
      </c>
      <c r="N231" s="24">
        <f t="shared" si="41"/>
        <v>0</v>
      </c>
      <c r="O231" s="196">
        <f>IFERROR(IF(($N$4-VLOOKUP(REGISTRO_MAESTRO_m3!X231,DISTRIBUCION_CONTENEDORES!$A$3:$D$530,2) ) &lt; 0,0,($N$4-VLOOKUP(X231,DISTRIBUCION_CONTENEDORES!$A$3:$D$530,2) ) * (M231/VLOOKUP(X231,DISTRIBUCION_CONTENEDORES!$A$3:$D$530,2))),0) *$N$5</f>
        <v>0</v>
      </c>
      <c r="P231" s="194">
        <f t="shared" si="37"/>
        <v>0</v>
      </c>
      <c r="Q231" s="190">
        <f t="shared" si="38"/>
        <v>0</v>
      </c>
      <c r="R231" s="188">
        <f t="shared" si="42"/>
        <v>0</v>
      </c>
      <c r="S231" s="213">
        <v>0</v>
      </c>
      <c r="T231" s="191">
        <f t="shared" si="43"/>
        <v>0</v>
      </c>
      <c r="U231" s="187">
        <f t="shared" si="39"/>
        <v>0</v>
      </c>
      <c r="V231" s="203">
        <f t="shared" si="44"/>
        <v>0</v>
      </c>
      <c r="W231" s="56">
        <f t="shared" si="40"/>
        <v>0</v>
      </c>
      <c r="X231" s="207">
        <v>0</v>
      </c>
      <c r="Y231" s="189">
        <v>0</v>
      </c>
      <c r="Z231" s="189">
        <f t="shared" si="45"/>
        <v>0</v>
      </c>
    </row>
    <row r="232" spans="1:26" x14ac:dyDescent="0.35">
      <c r="A232" s="176">
        <v>264</v>
      </c>
      <c r="B232" s="177"/>
      <c r="C232" s="178"/>
      <c r="D232" s="178"/>
      <c r="E232" s="178"/>
      <c r="F232" s="179"/>
      <c r="G232" s="179"/>
      <c r="H232" s="206"/>
      <c r="I232" s="179"/>
      <c r="J232" s="179"/>
      <c r="K232" s="179"/>
      <c r="L232" s="202">
        <v>0</v>
      </c>
      <c r="M232" s="200">
        <v>0</v>
      </c>
      <c r="N232" s="24">
        <f t="shared" si="41"/>
        <v>0</v>
      </c>
      <c r="O232" s="196">
        <f>IFERROR(IF(($N$4-VLOOKUP(REGISTRO_MAESTRO_m3!X232,DISTRIBUCION_CONTENEDORES!$A$3:$D$530,2) ) &lt; 0,0,($N$4-VLOOKUP(X232,DISTRIBUCION_CONTENEDORES!$A$3:$D$530,2) ) * (M232/VLOOKUP(X232,DISTRIBUCION_CONTENEDORES!$A$3:$D$530,2))),0) *$N$5</f>
        <v>0</v>
      </c>
      <c r="P232" s="194">
        <f t="shared" si="37"/>
        <v>0</v>
      </c>
      <c r="Q232" s="190">
        <f t="shared" si="38"/>
        <v>0</v>
      </c>
      <c r="R232" s="188">
        <f t="shared" si="42"/>
        <v>0</v>
      </c>
      <c r="S232" s="213">
        <v>0</v>
      </c>
      <c r="T232" s="191">
        <f t="shared" si="43"/>
        <v>0</v>
      </c>
      <c r="U232" s="187">
        <f t="shared" si="39"/>
        <v>0</v>
      </c>
      <c r="V232" s="203">
        <f t="shared" si="44"/>
        <v>0</v>
      </c>
      <c r="W232" s="56">
        <f t="shared" si="40"/>
        <v>0</v>
      </c>
      <c r="X232" s="207">
        <v>0</v>
      </c>
      <c r="Y232" s="189">
        <v>0</v>
      </c>
      <c r="Z232" s="189">
        <f t="shared" si="45"/>
        <v>0</v>
      </c>
    </row>
    <row r="233" spans="1:26" x14ac:dyDescent="0.35">
      <c r="A233" s="176">
        <v>265</v>
      </c>
      <c r="B233" s="177"/>
      <c r="C233" s="178"/>
      <c r="D233" s="178"/>
      <c r="E233" s="178"/>
      <c r="F233" s="179"/>
      <c r="G233" s="179"/>
      <c r="H233" s="206"/>
      <c r="I233" s="179"/>
      <c r="J233" s="179"/>
      <c r="K233" s="179"/>
      <c r="L233" s="202">
        <v>0</v>
      </c>
      <c r="M233" s="200">
        <v>0</v>
      </c>
      <c r="N233" s="24">
        <f t="shared" si="41"/>
        <v>0</v>
      </c>
      <c r="O233" s="196">
        <f>IFERROR(IF(($N$4-VLOOKUP(REGISTRO_MAESTRO_m3!X233,DISTRIBUCION_CONTENEDORES!$A$3:$D$530,2) ) &lt; 0,0,($N$4-VLOOKUP(X233,DISTRIBUCION_CONTENEDORES!$A$3:$D$530,2) ) * (M233/VLOOKUP(X233,DISTRIBUCION_CONTENEDORES!$A$3:$D$530,2))),0) *$N$5</f>
        <v>0</v>
      </c>
      <c r="P233" s="194">
        <f t="shared" si="37"/>
        <v>0</v>
      </c>
      <c r="Q233" s="190">
        <f t="shared" si="38"/>
        <v>0</v>
      </c>
      <c r="R233" s="188">
        <f t="shared" si="42"/>
        <v>0</v>
      </c>
      <c r="S233" s="213">
        <v>0</v>
      </c>
      <c r="T233" s="191">
        <f t="shared" si="43"/>
        <v>0</v>
      </c>
      <c r="U233" s="187">
        <f t="shared" si="39"/>
        <v>0</v>
      </c>
      <c r="V233" s="203">
        <f t="shared" si="44"/>
        <v>0</v>
      </c>
      <c r="W233" s="56">
        <f t="shared" si="40"/>
        <v>0</v>
      </c>
      <c r="X233" s="207">
        <v>0</v>
      </c>
      <c r="Y233" s="189">
        <v>0</v>
      </c>
      <c r="Z233" s="189">
        <f t="shared" si="45"/>
        <v>0</v>
      </c>
    </row>
    <row r="234" spans="1:26" x14ac:dyDescent="0.35">
      <c r="A234" s="176">
        <v>266</v>
      </c>
      <c r="B234" s="177"/>
      <c r="C234" s="178"/>
      <c r="D234" s="178"/>
      <c r="E234" s="178"/>
      <c r="F234" s="179"/>
      <c r="G234" s="179"/>
      <c r="H234" s="206"/>
      <c r="I234" s="179"/>
      <c r="J234" s="179"/>
      <c r="K234" s="179"/>
      <c r="L234" s="202">
        <v>0</v>
      </c>
      <c r="M234" s="200">
        <v>0</v>
      </c>
      <c r="N234" s="24">
        <f t="shared" si="41"/>
        <v>0</v>
      </c>
      <c r="O234" s="196">
        <f>IFERROR(IF(($N$4-VLOOKUP(REGISTRO_MAESTRO_m3!X234,DISTRIBUCION_CONTENEDORES!$A$3:$D$530,2) ) &lt; 0,0,($N$4-VLOOKUP(X234,DISTRIBUCION_CONTENEDORES!$A$3:$D$530,2) ) * (M234/VLOOKUP(X234,DISTRIBUCION_CONTENEDORES!$A$3:$D$530,2))),0) *$N$5</f>
        <v>0</v>
      </c>
      <c r="P234" s="194">
        <f t="shared" si="37"/>
        <v>0</v>
      </c>
      <c r="Q234" s="190">
        <f t="shared" si="38"/>
        <v>0</v>
      </c>
      <c r="R234" s="188">
        <f t="shared" si="42"/>
        <v>0</v>
      </c>
      <c r="S234" s="213">
        <v>0</v>
      </c>
      <c r="T234" s="191">
        <f t="shared" si="43"/>
        <v>0</v>
      </c>
      <c r="U234" s="187">
        <f t="shared" si="39"/>
        <v>0</v>
      </c>
      <c r="V234" s="203">
        <f t="shared" si="44"/>
        <v>0</v>
      </c>
      <c r="W234" s="56">
        <f t="shared" si="40"/>
        <v>0</v>
      </c>
      <c r="X234" s="207">
        <v>0</v>
      </c>
      <c r="Y234" s="189">
        <v>0</v>
      </c>
      <c r="Z234" s="189">
        <f t="shared" si="45"/>
        <v>0</v>
      </c>
    </row>
    <row r="235" spans="1:26" x14ac:dyDescent="0.35">
      <c r="A235" s="176">
        <v>267</v>
      </c>
      <c r="B235" s="177"/>
      <c r="C235" s="178"/>
      <c r="D235" s="178"/>
      <c r="E235" s="178"/>
      <c r="F235" s="179"/>
      <c r="G235" s="179"/>
      <c r="H235" s="206"/>
      <c r="I235" s="179"/>
      <c r="J235" s="179"/>
      <c r="K235" s="179"/>
      <c r="L235" s="202">
        <v>0</v>
      </c>
      <c r="M235" s="200">
        <v>0</v>
      </c>
      <c r="N235" s="24">
        <f t="shared" si="41"/>
        <v>0</v>
      </c>
      <c r="O235" s="196">
        <f>IFERROR(IF(($N$4-VLOOKUP(REGISTRO_MAESTRO_m3!X235,DISTRIBUCION_CONTENEDORES!$A$3:$D$530,2) ) &lt; 0,0,($N$4-VLOOKUP(X235,DISTRIBUCION_CONTENEDORES!$A$3:$D$530,2) ) * (M235/VLOOKUP(X235,DISTRIBUCION_CONTENEDORES!$A$3:$D$530,2))),0) *$N$5</f>
        <v>0</v>
      </c>
      <c r="P235" s="194">
        <f t="shared" si="37"/>
        <v>0</v>
      </c>
      <c r="Q235" s="190">
        <f t="shared" si="38"/>
        <v>0</v>
      </c>
      <c r="R235" s="188">
        <f t="shared" si="42"/>
        <v>0</v>
      </c>
      <c r="S235" s="213">
        <v>0</v>
      </c>
      <c r="T235" s="191">
        <f t="shared" si="43"/>
        <v>0</v>
      </c>
      <c r="U235" s="187">
        <f t="shared" si="39"/>
        <v>0</v>
      </c>
      <c r="V235" s="203">
        <f t="shared" si="44"/>
        <v>0</v>
      </c>
      <c r="W235" s="56">
        <f t="shared" si="40"/>
        <v>0</v>
      </c>
      <c r="X235" s="207">
        <v>0</v>
      </c>
      <c r="Y235" s="189">
        <v>0</v>
      </c>
      <c r="Z235" s="189">
        <f t="shared" si="45"/>
        <v>0</v>
      </c>
    </row>
    <row r="236" spans="1:26" x14ac:dyDescent="0.35">
      <c r="A236" s="176">
        <v>268</v>
      </c>
      <c r="B236" s="177"/>
      <c r="C236" s="178"/>
      <c r="D236" s="178"/>
      <c r="E236" s="178"/>
      <c r="F236" s="179"/>
      <c r="G236" s="179"/>
      <c r="H236" s="206"/>
      <c r="I236" s="179"/>
      <c r="J236" s="179"/>
      <c r="K236" s="179"/>
      <c r="L236" s="202">
        <v>0</v>
      </c>
      <c r="M236" s="200">
        <v>0</v>
      </c>
      <c r="N236" s="24">
        <f t="shared" si="41"/>
        <v>0</v>
      </c>
      <c r="O236" s="196">
        <f>IFERROR(IF(($N$4-VLOOKUP(REGISTRO_MAESTRO_m3!X236,DISTRIBUCION_CONTENEDORES!$A$3:$D$530,2) ) &lt; 0,0,($N$4-VLOOKUP(X236,DISTRIBUCION_CONTENEDORES!$A$3:$D$530,2) ) * (M236/VLOOKUP(X236,DISTRIBUCION_CONTENEDORES!$A$3:$D$530,2))),0) *$N$5</f>
        <v>0</v>
      </c>
      <c r="P236" s="194">
        <f t="shared" si="37"/>
        <v>0</v>
      </c>
      <c r="Q236" s="190">
        <f t="shared" si="38"/>
        <v>0</v>
      </c>
      <c r="R236" s="188">
        <f t="shared" si="42"/>
        <v>0</v>
      </c>
      <c r="S236" s="213">
        <v>0</v>
      </c>
      <c r="T236" s="191">
        <f t="shared" si="43"/>
        <v>0</v>
      </c>
      <c r="U236" s="187">
        <f t="shared" si="39"/>
        <v>0</v>
      </c>
      <c r="V236" s="203">
        <f t="shared" si="44"/>
        <v>0</v>
      </c>
      <c r="W236" s="56">
        <f t="shared" si="40"/>
        <v>0</v>
      </c>
      <c r="X236" s="207">
        <v>0</v>
      </c>
      <c r="Y236" s="189">
        <v>0</v>
      </c>
      <c r="Z236" s="189">
        <f t="shared" si="45"/>
        <v>0</v>
      </c>
    </row>
    <row r="237" spans="1:26" x14ac:dyDescent="0.35">
      <c r="A237" s="176">
        <v>269</v>
      </c>
      <c r="B237" s="177"/>
      <c r="C237" s="178"/>
      <c r="D237" s="178"/>
      <c r="E237" s="178"/>
      <c r="F237" s="179"/>
      <c r="G237" s="179"/>
      <c r="H237" s="206"/>
      <c r="I237" s="179"/>
      <c r="J237" s="179"/>
      <c r="K237" s="179"/>
      <c r="L237" s="202">
        <v>0</v>
      </c>
      <c r="M237" s="200">
        <v>0</v>
      </c>
      <c r="N237" s="24">
        <f t="shared" si="41"/>
        <v>0</v>
      </c>
      <c r="O237" s="196">
        <f>IFERROR(IF(($N$4-VLOOKUP(REGISTRO_MAESTRO_m3!X237,DISTRIBUCION_CONTENEDORES!$A$3:$D$530,2) ) &lt; 0,0,($N$4-VLOOKUP(X237,DISTRIBUCION_CONTENEDORES!$A$3:$D$530,2) ) * (M237/VLOOKUP(X237,DISTRIBUCION_CONTENEDORES!$A$3:$D$530,2))),0) *$N$5</f>
        <v>0</v>
      </c>
      <c r="P237" s="194">
        <f t="shared" si="37"/>
        <v>0</v>
      </c>
      <c r="Q237" s="190">
        <f t="shared" si="38"/>
        <v>0</v>
      </c>
      <c r="R237" s="188">
        <f t="shared" si="42"/>
        <v>0</v>
      </c>
      <c r="S237" s="213">
        <v>0</v>
      </c>
      <c r="T237" s="191">
        <f t="shared" si="43"/>
        <v>0</v>
      </c>
      <c r="U237" s="187">
        <f t="shared" si="39"/>
        <v>0</v>
      </c>
      <c r="V237" s="203">
        <f t="shared" si="44"/>
        <v>0</v>
      </c>
      <c r="W237" s="56">
        <f t="shared" si="40"/>
        <v>0</v>
      </c>
      <c r="X237" s="207">
        <v>0</v>
      </c>
      <c r="Y237" s="189">
        <v>0</v>
      </c>
      <c r="Z237" s="189">
        <f t="shared" si="45"/>
        <v>0</v>
      </c>
    </row>
    <row r="238" spans="1:26" x14ac:dyDescent="0.35">
      <c r="A238" s="176">
        <v>270</v>
      </c>
      <c r="B238" s="177"/>
      <c r="C238" s="178"/>
      <c r="D238" s="178"/>
      <c r="E238" s="178"/>
      <c r="F238" s="179"/>
      <c r="G238" s="179"/>
      <c r="H238" s="206"/>
      <c r="I238" s="179"/>
      <c r="J238" s="179"/>
      <c r="K238" s="179"/>
      <c r="L238" s="202">
        <v>0</v>
      </c>
      <c r="M238" s="200">
        <v>0</v>
      </c>
      <c r="N238" s="24">
        <f t="shared" si="41"/>
        <v>0</v>
      </c>
      <c r="O238" s="196">
        <f>IFERROR(IF(($N$4-VLOOKUP(REGISTRO_MAESTRO_m3!X238,DISTRIBUCION_CONTENEDORES!$A$3:$D$530,2) ) &lt; 0,0,($N$4-VLOOKUP(X238,DISTRIBUCION_CONTENEDORES!$A$3:$D$530,2) ) * (M238/VLOOKUP(X238,DISTRIBUCION_CONTENEDORES!$A$3:$D$530,2))),0) *$N$5</f>
        <v>0</v>
      </c>
      <c r="P238" s="194">
        <f t="shared" si="37"/>
        <v>0</v>
      </c>
      <c r="Q238" s="190">
        <f t="shared" si="38"/>
        <v>0</v>
      </c>
      <c r="R238" s="188">
        <f t="shared" si="42"/>
        <v>0</v>
      </c>
      <c r="S238" s="213">
        <v>0</v>
      </c>
      <c r="T238" s="191">
        <f t="shared" si="43"/>
        <v>0</v>
      </c>
      <c r="U238" s="187">
        <f t="shared" si="39"/>
        <v>0</v>
      </c>
      <c r="V238" s="203">
        <f t="shared" si="44"/>
        <v>0</v>
      </c>
      <c r="W238" s="56">
        <f t="shared" si="40"/>
        <v>0</v>
      </c>
      <c r="X238" s="207">
        <v>0</v>
      </c>
      <c r="Y238" s="189">
        <v>0</v>
      </c>
      <c r="Z238" s="189">
        <f t="shared" si="45"/>
        <v>0</v>
      </c>
    </row>
    <row r="239" spans="1:26" x14ac:dyDescent="0.35">
      <c r="A239" s="176">
        <v>271</v>
      </c>
      <c r="B239" s="177"/>
      <c r="C239" s="178"/>
      <c r="D239" s="178"/>
      <c r="E239" s="178"/>
      <c r="F239" s="179"/>
      <c r="G239" s="179"/>
      <c r="H239" s="206"/>
      <c r="I239" s="179"/>
      <c r="J239" s="179"/>
      <c r="K239" s="179"/>
      <c r="L239" s="202">
        <v>0</v>
      </c>
      <c r="M239" s="200">
        <v>0</v>
      </c>
      <c r="N239" s="24">
        <f t="shared" si="41"/>
        <v>0</v>
      </c>
      <c r="O239" s="196">
        <f>IFERROR(IF(($N$4-VLOOKUP(REGISTRO_MAESTRO_m3!X239,DISTRIBUCION_CONTENEDORES!$A$3:$D$530,2) ) &lt; 0,0,($N$4-VLOOKUP(X239,DISTRIBUCION_CONTENEDORES!$A$3:$D$530,2) ) * (M239/VLOOKUP(X239,DISTRIBUCION_CONTENEDORES!$A$3:$D$530,2))),0) *$N$5</f>
        <v>0</v>
      </c>
      <c r="P239" s="194">
        <f t="shared" ref="P239:P302" si="46">N239+O239</f>
        <v>0</v>
      </c>
      <c r="Q239" s="190">
        <f t="shared" ref="Q239:Q302" si="47">P239-L239</f>
        <v>0</v>
      </c>
      <c r="R239" s="188">
        <f t="shared" si="42"/>
        <v>0</v>
      </c>
      <c r="S239" s="213">
        <v>0</v>
      </c>
      <c r="T239" s="191">
        <f t="shared" si="43"/>
        <v>0</v>
      </c>
      <c r="U239" s="187">
        <f t="shared" ref="U239:U302" si="48">IF(Q239&lt; 0, 0, Q239-S239)</f>
        <v>0</v>
      </c>
      <c r="V239" s="203">
        <f t="shared" si="44"/>
        <v>0</v>
      </c>
      <c r="W239" s="56">
        <f t="shared" ref="W239:W302" si="49">M239*$N$8</f>
        <v>0</v>
      </c>
      <c r="X239" s="207">
        <v>0</v>
      </c>
      <c r="Y239" s="189">
        <v>0</v>
      </c>
      <c r="Z239" s="189">
        <f t="shared" si="45"/>
        <v>0</v>
      </c>
    </row>
    <row r="240" spans="1:26" x14ac:dyDescent="0.35">
      <c r="A240" s="176">
        <v>272</v>
      </c>
      <c r="B240" s="177"/>
      <c r="C240" s="178"/>
      <c r="D240" s="178"/>
      <c r="E240" s="178"/>
      <c r="F240" s="179"/>
      <c r="G240" s="179"/>
      <c r="H240" s="206"/>
      <c r="I240" s="179"/>
      <c r="J240" s="179"/>
      <c r="K240" s="179"/>
      <c r="L240" s="202">
        <v>0</v>
      </c>
      <c r="M240" s="200">
        <v>0</v>
      </c>
      <c r="N240" s="24">
        <f t="shared" si="41"/>
        <v>0</v>
      </c>
      <c r="O240" s="196">
        <f>IFERROR(IF(($N$4-VLOOKUP(REGISTRO_MAESTRO_m3!X240,DISTRIBUCION_CONTENEDORES!$A$3:$D$530,2) ) &lt; 0,0,($N$4-VLOOKUP(X240,DISTRIBUCION_CONTENEDORES!$A$3:$D$530,2) ) * (M240/VLOOKUP(X240,DISTRIBUCION_CONTENEDORES!$A$3:$D$530,2))),0) *$N$5</f>
        <v>0</v>
      </c>
      <c r="P240" s="194">
        <f t="shared" si="46"/>
        <v>0</v>
      </c>
      <c r="Q240" s="190">
        <f t="shared" si="47"/>
        <v>0</v>
      </c>
      <c r="R240" s="188">
        <f t="shared" si="42"/>
        <v>0</v>
      </c>
      <c r="S240" s="213">
        <v>0</v>
      </c>
      <c r="T240" s="191">
        <f t="shared" si="43"/>
        <v>0</v>
      </c>
      <c r="U240" s="187">
        <f t="shared" si="48"/>
        <v>0</v>
      </c>
      <c r="V240" s="203">
        <f t="shared" si="44"/>
        <v>0</v>
      </c>
      <c r="W240" s="56">
        <f t="shared" si="49"/>
        <v>0</v>
      </c>
      <c r="X240" s="207">
        <v>0</v>
      </c>
      <c r="Y240" s="189">
        <v>0</v>
      </c>
      <c r="Z240" s="189">
        <f t="shared" si="45"/>
        <v>0</v>
      </c>
    </row>
    <row r="241" spans="1:26" x14ac:dyDescent="0.35">
      <c r="A241" s="176">
        <v>273</v>
      </c>
      <c r="B241" s="177"/>
      <c r="C241" s="178"/>
      <c r="D241" s="178"/>
      <c r="E241" s="178"/>
      <c r="F241" s="179"/>
      <c r="G241" s="179"/>
      <c r="H241" s="206"/>
      <c r="I241" s="179"/>
      <c r="J241" s="179"/>
      <c r="K241" s="179"/>
      <c r="L241" s="202">
        <v>0</v>
      </c>
      <c r="M241" s="200">
        <v>0</v>
      </c>
      <c r="N241" s="24">
        <f t="shared" si="41"/>
        <v>0</v>
      </c>
      <c r="O241" s="196">
        <f>IFERROR(IF(($N$4-VLOOKUP(REGISTRO_MAESTRO_m3!X241,DISTRIBUCION_CONTENEDORES!$A$3:$D$530,2) ) &lt; 0,0,($N$4-VLOOKUP(X241,DISTRIBUCION_CONTENEDORES!$A$3:$D$530,2) ) * (M241/VLOOKUP(X241,DISTRIBUCION_CONTENEDORES!$A$3:$D$530,2))),0) *$N$5</f>
        <v>0</v>
      </c>
      <c r="P241" s="194">
        <f t="shared" si="46"/>
        <v>0</v>
      </c>
      <c r="Q241" s="190">
        <f t="shared" si="47"/>
        <v>0</v>
      </c>
      <c r="R241" s="188">
        <f t="shared" si="42"/>
        <v>0</v>
      </c>
      <c r="S241" s="213">
        <v>0</v>
      </c>
      <c r="T241" s="191">
        <f t="shared" si="43"/>
        <v>0</v>
      </c>
      <c r="U241" s="187">
        <f t="shared" si="48"/>
        <v>0</v>
      </c>
      <c r="V241" s="203">
        <f t="shared" si="44"/>
        <v>0</v>
      </c>
      <c r="W241" s="56">
        <f t="shared" si="49"/>
        <v>0</v>
      </c>
      <c r="X241" s="207">
        <v>0</v>
      </c>
      <c r="Y241" s="189">
        <v>0</v>
      </c>
      <c r="Z241" s="189">
        <f t="shared" si="45"/>
        <v>0</v>
      </c>
    </row>
    <row r="242" spans="1:26" x14ac:dyDescent="0.35">
      <c r="A242" s="176">
        <v>274</v>
      </c>
      <c r="B242" s="177"/>
      <c r="C242" s="178"/>
      <c r="D242" s="178"/>
      <c r="E242" s="178"/>
      <c r="F242" s="179"/>
      <c r="G242" s="179"/>
      <c r="H242" s="206"/>
      <c r="I242" s="179"/>
      <c r="J242" s="179"/>
      <c r="K242" s="179"/>
      <c r="L242" s="202">
        <v>0</v>
      </c>
      <c r="M242" s="200">
        <v>0</v>
      </c>
      <c r="N242" s="24">
        <f t="shared" si="41"/>
        <v>0</v>
      </c>
      <c r="O242" s="196">
        <f>IFERROR(IF(($N$4-VLOOKUP(REGISTRO_MAESTRO_m3!X242,DISTRIBUCION_CONTENEDORES!$A$3:$D$530,2) ) &lt; 0,0,($N$4-VLOOKUP(X242,DISTRIBUCION_CONTENEDORES!$A$3:$D$530,2) ) * (M242/VLOOKUP(X242,DISTRIBUCION_CONTENEDORES!$A$3:$D$530,2))),0) *$N$5</f>
        <v>0</v>
      </c>
      <c r="P242" s="194">
        <f t="shared" si="46"/>
        <v>0</v>
      </c>
      <c r="Q242" s="190">
        <f t="shared" si="47"/>
        <v>0</v>
      </c>
      <c r="R242" s="188">
        <f t="shared" si="42"/>
        <v>0</v>
      </c>
      <c r="S242" s="213">
        <v>0</v>
      </c>
      <c r="T242" s="191">
        <f t="shared" si="43"/>
        <v>0</v>
      </c>
      <c r="U242" s="187">
        <f t="shared" si="48"/>
        <v>0</v>
      </c>
      <c r="V242" s="203">
        <f t="shared" si="44"/>
        <v>0</v>
      </c>
      <c r="W242" s="56">
        <f t="shared" si="49"/>
        <v>0</v>
      </c>
      <c r="X242" s="207">
        <v>0</v>
      </c>
      <c r="Y242" s="189">
        <v>0</v>
      </c>
      <c r="Z242" s="189">
        <f t="shared" si="45"/>
        <v>0</v>
      </c>
    </row>
    <row r="243" spans="1:26" x14ac:dyDescent="0.35">
      <c r="A243" s="176">
        <v>275</v>
      </c>
      <c r="B243" s="177"/>
      <c r="C243" s="178"/>
      <c r="D243" s="178"/>
      <c r="E243" s="178"/>
      <c r="F243" s="179"/>
      <c r="G243" s="179"/>
      <c r="H243" s="206"/>
      <c r="I243" s="179"/>
      <c r="J243" s="179"/>
      <c r="K243" s="179"/>
      <c r="L243" s="202">
        <v>0</v>
      </c>
      <c r="M243" s="200">
        <v>0</v>
      </c>
      <c r="N243" s="24">
        <f t="shared" si="41"/>
        <v>0</v>
      </c>
      <c r="O243" s="196">
        <f>IFERROR(IF(($N$4-VLOOKUP(REGISTRO_MAESTRO_m3!X243,DISTRIBUCION_CONTENEDORES!$A$3:$D$530,2) ) &lt; 0,0,($N$4-VLOOKUP(X243,DISTRIBUCION_CONTENEDORES!$A$3:$D$530,2) ) * (M243/VLOOKUP(X243,DISTRIBUCION_CONTENEDORES!$A$3:$D$530,2))),0) *$N$5</f>
        <v>0</v>
      </c>
      <c r="P243" s="194">
        <f t="shared" si="46"/>
        <v>0</v>
      </c>
      <c r="Q243" s="190">
        <f t="shared" si="47"/>
        <v>0</v>
      </c>
      <c r="R243" s="188">
        <f t="shared" si="42"/>
        <v>0</v>
      </c>
      <c r="S243" s="213">
        <v>0</v>
      </c>
      <c r="T243" s="191">
        <f t="shared" si="43"/>
        <v>0</v>
      </c>
      <c r="U243" s="187">
        <f t="shared" si="48"/>
        <v>0</v>
      </c>
      <c r="V243" s="203">
        <f t="shared" si="44"/>
        <v>0</v>
      </c>
      <c r="W243" s="56">
        <f t="shared" si="49"/>
        <v>0</v>
      </c>
      <c r="X243" s="207">
        <v>0</v>
      </c>
      <c r="Y243" s="189">
        <v>0</v>
      </c>
      <c r="Z243" s="189">
        <f t="shared" si="45"/>
        <v>0</v>
      </c>
    </row>
    <row r="244" spans="1:26" x14ac:dyDescent="0.35">
      <c r="A244" s="176">
        <v>276</v>
      </c>
      <c r="B244" s="177"/>
      <c r="C244" s="178"/>
      <c r="D244" s="178"/>
      <c r="E244" s="178"/>
      <c r="F244" s="179"/>
      <c r="G244" s="179"/>
      <c r="H244" s="206"/>
      <c r="I244" s="179"/>
      <c r="J244" s="179"/>
      <c r="K244" s="179"/>
      <c r="L244" s="202">
        <v>0</v>
      </c>
      <c r="M244" s="200">
        <v>0</v>
      </c>
      <c r="N244" s="24">
        <f t="shared" si="41"/>
        <v>0</v>
      </c>
      <c r="O244" s="196">
        <f>IFERROR(IF(($N$4-VLOOKUP(REGISTRO_MAESTRO_m3!X244,DISTRIBUCION_CONTENEDORES!$A$3:$D$530,2) ) &lt; 0,0,($N$4-VLOOKUP(X244,DISTRIBUCION_CONTENEDORES!$A$3:$D$530,2) ) * (M244/VLOOKUP(X244,DISTRIBUCION_CONTENEDORES!$A$3:$D$530,2))),0) *$N$5</f>
        <v>0</v>
      </c>
      <c r="P244" s="194">
        <f t="shared" si="46"/>
        <v>0</v>
      </c>
      <c r="Q244" s="190">
        <f t="shared" si="47"/>
        <v>0</v>
      </c>
      <c r="R244" s="188">
        <f t="shared" si="42"/>
        <v>0</v>
      </c>
      <c r="S244" s="213">
        <v>0</v>
      </c>
      <c r="T244" s="191">
        <f t="shared" si="43"/>
        <v>0</v>
      </c>
      <c r="U244" s="187">
        <f t="shared" si="48"/>
        <v>0</v>
      </c>
      <c r="V244" s="203">
        <f t="shared" si="44"/>
        <v>0</v>
      </c>
      <c r="W244" s="56">
        <f t="shared" si="49"/>
        <v>0</v>
      </c>
      <c r="X244" s="207">
        <v>0</v>
      </c>
      <c r="Y244" s="189">
        <v>0</v>
      </c>
      <c r="Z244" s="189">
        <f t="shared" si="45"/>
        <v>0</v>
      </c>
    </row>
    <row r="245" spans="1:26" x14ac:dyDescent="0.35">
      <c r="A245" s="176">
        <v>277</v>
      </c>
      <c r="B245" s="177"/>
      <c r="C245" s="178"/>
      <c r="D245" s="178"/>
      <c r="E245" s="178"/>
      <c r="F245" s="179"/>
      <c r="G245" s="179"/>
      <c r="H245" s="206"/>
      <c r="I245" s="179"/>
      <c r="J245" s="179"/>
      <c r="K245" s="179"/>
      <c r="L245" s="202">
        <v>0</v>
      </c>
      <c r="M245" s="200">
        <v>0</v>
      </c>
      <c r="N245" s="24">
        <f t="shared" si="41"/>
        <v>0</v>
      </c>
      <c r="O245" s="196">
        <f>IFERROR(IF(($N$4-VLOOKUP(REGISTRO_MAESTRO_m3!X245,DISTRIBUCION_CONTENEDORES!$A$3:$D$530,2) ) &lt; 0,0,($N$4-VLOOKUP(X245,DISTRIBUCION_CONTENEDORES!$A$3:$D$530,2) ) * (M245/VLOOKUP(X245,DISTRIBUCION_CONTENEDORES!$A$3:$D$530,2))),0) *$N$5</f>
        <v>0</v>
      </c>
      <c r="P245" s="194">
        <f t="shared" si="46"/>
        <v>0</v>
      </c>
      <c r="Q245" s="190">
        <f t="shared" si="47"/>
        <v>0</v>
      </c>
      <c r="R245" s="188">
        <f t="shared" si="42"/>
        <v>0</v>
      </c>
      <c r="S245" s="213">
        <v>0</v>
      </c>
      <c r="T245" s="191">
        <f t="shared" si="43"/>
        <v>0</v>
      </c>
      <c r="U245" s="187">
        <f t="shared" si="48"/>
        <v>0</v>
      </c>
      <c r="V245" s="203">
        <f t="shared" si="44"/>
        <v>0</v>
      </c>
      <c r="W245" s="56">
        <f t="shared" si="49"/>
        <v>0</v>
      </c>
      <c r="X245" s="207">
        <v>0</v>
      </c>
      <c r="Y245" s="189">
        <v>0</v>
      </c>
      <c r="Z245" s="189">
        <f t="shared" si="45"/>
        <v>0</v>
      </c>
    </row>
    <row r="246" spans="1:26" x14ac:dyDescent="0.35">
      <c r="A246" s="176">
        <v>278</v>
      </c>
      <c r="B246" s="177"/>
      <c r="C246" s="178"/>
      <c r="D246" s="178"/>
      <c r="E246" s="178"/>
      <c r="F246" s="179"/>
      <c r="G246" s="179"/>
      <c r="H246" s="206"/>
      <c r="I246" s="179"/>
      <c r="J246" s="179"/>
      <c r="K246" s="179"/>
      <c r="L246" s="202">
        <v>0</v>
      </c>
      <c r="M246" s="200">
        <v>0</v>
      </c>
      <c r="N246" s="24">
        <f t="shared" si="41"/>
        <v>0</v>
      </c>
      <c r="O246" s="196">
        <f>IFERROR(IF(($N$4-VLOOKUP(REGISTRO_MAESTRO_m3!X246,DISTRIBUCION_CONTENEDORES!$A$3:$D$530,2) ) &lt; 0,0,($N$4-VLOOKUP(X246,DISTRIBUCION_CONTENEDORES!$A$3:$D$530,2) ) * (M246/VLOOKUP(X246,DISTRIBUCION_CONTENEDORES!$A$3:$D$530,2))),0) *$N$5</f>
        <v>0</v>
      </c>
      <c r="P246" s="194">
        <f t="shared" si="46"/>
        <v>0</v>
      </c>
      <c r="Q246" s="190">
        <f t="shared" si="47"/>
        <v>0</v>
      </c>
      <c r="R246" s="188">
        <f t="shared" si="42"/>
        <v>0</v>
      </c>
      <c r="S246" s="213">
        <v>0</v>
      </c>
      <c r="T246" s="191">
        <f t="shared" si="43"/>
        <v>0</v>
      </c>
      <c r="U246" s="187">
        <f t="shared" si="48"/>
        <v>0</v>
      </c>
      <c r="V246" s="203">
        <f t="shared" si="44"/>
        <v>0</v>
      </c>
      <c r="W246" s="56">
        <f t="shared" si="49"/>
        <v>0</v>
      </c>
      <c r="X246" s="207">
        <v>0</v>
      </c>
      <c r="Y246" s="189">
        <v>0</v>
      </c>
      <c r="Z246" s="189">
        <f t="shared" si="45"/>
        <v>0</v>
      </c>
    </row>
    <row r="247" spans="1:26" x14ac:dyDescent="0.35">
      <c r="A247" s="176">
        <v>279</v>
      </c>
      <c r="B247" s="177"/>
      <c r="C247" s="178"/>
      <c r="D247" s="178"/>
      <c r="E247" s="178"/>
      <c r="F247" s="179"/>
      <c r="G247" s="179"/>
      <c r="H247" s="206"/>
      <c r="I247" s="179"/>
      <c r="J247" s="179"/>
      <c r="K247" s="179"/>
      <c r="L247" s="202">
        <v>0</v>
      </c>
      <c r="M247" s="200">
        <v>0</v>
      </c>
      <c r="N247" s="24">
        <f t="shared" si="41"/>
        <v>0</v>
      </c>
      <c r="O247" s="196">
        <f>IFERROR(IF(($N$4-VLOOKUP(REGISTRO_MAESTRO_m3!X247,DISTRIBUCION_CONTENEDORES!$A$3:$D$530,2) ) &lt; 0,0,($N$4-VLOOKUP(X247,DISTRIBUCION_CONTENEDORES!$A$3:$D$530,2) ) * (M247/VLOOKUP(X247,DISTRIBUCION_CONTENEDORES!$A$3:$D$530,2))),0) *$N$5</f>
        <v>0</v>
      </c>
      <c r="P247" s="194">
        <f t="shared" si="46"/>
        <v>0</v>
      </c>
      <c r="Q247" s="190">
        <f t="shared" si="47"/>
        <v>0</v>
      </c>
      <c r="R247" s="188">
        <f t="shared" si="42"/>
        <v>0</v>
      </c>
      <c r="S247" s="213">
        <v>0</v>
      </c>
      <c r="T247" s="191">
        <f t="shared" si="43"/>
        <v>0</v>
      </c>
      <c r="U247" s="187">
        <f t="shared" si="48"/>
        <v>0</v>
      </c>
      <c r="V247" s="203">
        <f t="shared" si="44"/>
        <v>0</v>
      </c>
      <c r="W247" s="56">
        <f t="shared" si="49"/>
        <v>0</v>
      </c>
      <c r="X247" s="207">
        <v>0</v>
      </c>
      <c r="Y247" s="189">
        <v>0</v>
      </c>
      <c r="Z247" s="189">
        <f t="shared" si="45"/>
        <v>0</v>
      </c>
    </row>
    <row r="248" spans="1:26" x14ac:dyDescent="0.35">
      <c r="A248" s="176">
        <v>280</v>
      </c>
      <c r="B248" s="177"/>
      <c r="C248" s="178"/>
      <c r="D248" s="178"/>
      <c r="E248" s="178"/>
      <c r="F248" s="179"/>
      <c r="G248" s="179"/>
      <c r="H248" s="206"/>
      <c r="I248" s="179"/>
      <c r="J248" s="179"/>
      <c r="K248" s="179"/>
      <c r="L248" s="202">
        <v>0</v>
      </c>
      <c r="M248" s="200">
        <v>0</v>
      </c>
      <c r="N248" s="24">
        <f t="shared" si="41"/>
        <v>0</v>
      </c>
      <c r="O248" s="196">
        <f>IFERROR(IF(($N$4-VLOOKUP(REGISTRO_MAESTRO_m3!X248,DISTRIBUCION_CONTENEDORES!$A$3:$D$530,2) ) &lt; 0,0,($N$4-VLOOKUP(X248,DISTRIBUCION_CONTENEDORES!$A$3:$D$530,2) ) * (M248/VLOOKUP(X248,DISTRIBUCION_CONTENEDORES!$A$3:$D$530,2))),0) *$N$5</f>
        <v>0</v>
      </c>
      <c r="P248" s="194">
        <f t="shared" si="46"/>
        <v>0</v>
      </c>
      <c r="Q248" s="190">
        <f t="shared" si="47"/>
        <v>0</v>
      </c>
      <c r="R248" s="188">
        <f t="shared" si="42"/>
        <v>0</v>
      </c>
      <c r="S248" s="213">
        <v>0</v>
      </c>
      <c r="T248" s="191">
        <f t="shared" si="43"/>
        <v>0</v>
      </c>
      <c r="U248" s="187">
        <f t="shared" si="48"/>
        <v>0</v>
      </c>
      <c r="V248" s="203">
        <f t="shared" si="44"/>
        <v>0</v>
      </c>
      <c r="W248" s="56">
        <f t="shared" si="49"/>
        <v>0</v>
      </c>
      <c r="X248" s="207">
        <v>0</v>
      </c>
      <c r="Y248" s="189">
        <v>0</v>
      </c>
      <c r="Z248" s="189">
        <f t="shared" si="45"/>
        <v>0</v>
      </c>
    </row>
    <row r="249" spans="1:26" x14ac:dyDescent="0.35">
      <c r="A249" s="176">
        <v>281</v>
      </c>
      <c r="B249" s="177"/>
      <c r="C249" s="178"/>
      <c r="D249" s="178"/>
      <c r="E249" s="178"/>
      <c r="F249" s="179"/>
      <c r="G249" s="179"/>
      <c r="H249" s="206"/>
      <c r="I249" s="179"/>
      <c r="J249" s="179"/>
      <c r="K249" s="179"/>
      <c r="L249" s="202">
        <v>0</v>
      </c>
      <c r="M249" s="200">
        <v>0</v>
      </c>
      <c r="N249" s="24">
        <f t="shared" si="41"/>
        <v>0</v>
      </c>
      <c r="O249" s="196">
        <f>IFERROR(IF(($N$4-VLOOKUP(REGISTRO_MAESTRO_m3!X249,DISTRIBUCION_CONTENEDORES!$A$3:$D$530,2) ) &lt; 0,0,($N$4-VLOOKUP(X249,DISTRIBUCION_CONTENEDORES!$A$3:$D$530,2) ) * (M249/VLOOKUP(X249,DISTRIBUCION_CONTENEDORES!$A$3:$D$530,2))),0) *$N$5</f>
        <v>0</v>
      </c>
      <c r="P249" s="194">
        <f t="shared" si="46"/>
        <v>0</v>
      </c>
      <c r="Q249" s="190">
        <f t="shared" si="47"/>
        <v>0</v>
      </c>
      <c r="R249" s="188">
        <f t="shared" si="42"/>
        <v>0</v>
      </c>
      <c r="S249" s="213">
        <v>0</v>
      </c>
      <c r="T249" s="191">
        <f t="shared" si="43"/>
        <v>0</v>
      </c>
      <c r="U249" s="187">
        <f t="shared" si="48"/>
        <v>0</v>
      </c>
      <c r="V249" s="203">
        <f t="shared" si="44"/>
        <v>0</v>
      </c>
      <c r="W249" s="56">
        <f t="shared" si="49"/>
        <v>0</v>
      </c>
      <c r="X249" s="207">
        <v>0</v>
      </c>
      <c r="Y249" s="189">
        <v>0</v>
      </c>
      <c r="Z249" s="189">
        <f t="shared" si="45"/>
        <v>0</v>
      </c>
    </row>
    <row r="250" spans="1:26" x14ac:dyDescent="0.35">
      <c r="A250" s="176">
        <v>282</v>
      </c>
      <c r="B250" s="177"/>
      <c r="C250" s="178"/>
      <c r="D250" s="178"/>
      <c r="E250" s="178"/>
      <c r="F250" s="179"/>
      <c r="G250" s="179"/>
      <c r="H250" s="206"/>
      <c r="I250" s="179"/>
      <c r="J250" s="179"/>
      <c r="K250" s="179"/>
      <c r="L250" s="202">
        <v>0</v>
      </c>
      <c r="M250" s="200">
        <v>0</v>
      </c>
      <c r="N250" s="24">
        <f t="shared" si="41"/>
        <v>0</v>
      </c>
      <c r="O250" s="196">
        <f>IFERROR(IF(($N$4-VLOOKUP(REGISTRO_MAESTRO_m3!X250,DISTRIBUCION_CONTENEDORES!$A$3:$D$530,2) ) &lt; 0,0,($N$4-VLOOKUP(X250,DISTRIBUCION_CONTENEDORES!$A$3:$D$530,2) ) * (M250/VLOOKUP(X250,DISTRIBUCION_CONTENEDORES!$A$3:$D$530,2))),0) *$N$5</f>
        <v>0</v>
      </c>
      <c r="P250" s="194">
        <f t="shared" si="46"/>
        <v>0</v>
      </c>
      <c r="Q250" s="190">
        <f t="shared" si="47"/>
        <v>0</v>
      </c>
      <c r="R250" s="188">
        <f t="shared" si="42"/>
        <v>0</v>
      </c>
      <c r="S250" s="213">
        <v>0</v>
      </c>
      <c r="T250" s="191">
        <f t="shared" si="43"/>
        <v>0</v>
      </c>
      <c r="U250" s="187">
        <f t="shared" si="48"/>
        <v>0</v>
      </c>
      <c r="V250" s="203">
        <f t="shared" si="44"/>
        <v>0</v>
      </c>
      <c r="W250" s="56">
        <f t="shared" si="49"/>
        <v>0</v>
      </c>
      <c r="X250" s="207">
        <v>0</v>
      </c>
      <c r="Y250" s="189">
        <v>0</v>
      </c>
      <c r="Z250" s="189">
        <f t="shared" si="45"/>
        <v>0</v>
      </c>
    </row>
    <row r="251" spans="1:26" x14ac:dyDescent="0.35">
      <c r="A251" s="176">
        <v>283</v>
      </c>
      <c r="B251" s="177"/>
      <c r="C251" s="178"/>
      <c r="D251" s="178"/>
      <c r="E251" s="178"/>
      <c r="F251" s="179"/>
      <c r="G251" s="179"/>
      <c r="H251" s="206"/>
      <c r="I251" s="179"/>
      <c r="J251" s="179"/>
      <c r="K251" s="179"/>
      <c r="L251" s="202">
        <v>0</v>
      </c>
      <c r="M251" s="200">
        <v>0</v>
      </c>
      <c r="N251" s="24">
        <f t="shared" si="41"/>
        <v>0</v>
      </c>
      <c r="O251" s="196">
        <f>IFERROR(IF(($N$4-VLOOKUP(REGISTRO_MAESTRO_m3!X251,DISTRIBUCION_CONTENEDORES!$A$3:$D$530,2) ) &lt; 0,0,($N$4-VLOOKUP(X251,DISTRIBUCION_CONTENEDORES!$A$3:$D$530,2) ) * (M251/VLOOKUP(X251,DISTRIBUCION_CONTENEDORES!$A$3:$D$530,2))),0) *$N$5</f>
        <v>0</v>
      </c>
      <c r="P251" s="194">
        <f t="shared" si="46"/>
        <v>0</v>
      </c>
      <c r="Q251" s="190">
        <f t="shared" si="47"/>
        <v>0</v>
      </c>
      <c r="R251" s="188">
        <f t="shared" si="42"/>
        <v>0</v>
      </c>
      <c r="S251" s="213">
        <v>0</v>
      </c>
      <c r="T251" s="191">
        <f t="shared" si="43"/>
        <v>0</v>
      </c>
      <c r="U251" s="187">
        <f t="shared" si="48"/>
        <v>0</v>
      </c>
      <c r="V251" s="203">
        <f t="shared" si="44"/>
        <v>0</v>
      </c>
      <c r="W251" s="56">
        <f t="shared" si="49"/>
        <v>0</v>
      </c>
      <c r="X251" s="207">
        <v>0</v>
      </c>
      <c r="Y251" s="189">
        <v>0</v>
      </c>
      <c r="Z251" s="189">
        <f t="shared" si="45"/>
        <v>0</v>
      </c>
    </row>
    <row r="252" spans="1:26" x14ac:dyDescent="0.35">
      <c r="A252" s="176">
        <v>284</v>
      </c>
      <c r="B252" s="177"/>
      <c r="C252" s="178"/>
      <c r="D252" s="178"/>
      <c r="E252" s="178"/>
      <c r="F252" s="179"/>
      <c r="G252" s="179"/>
      <c r="H252" s="206"/>
      <c r="I252" s="179"/>
      <c r="J252" s="179"/>
      <c r="K252" s="179"/>
      <c r="L252" s="202">
        <v>0</v>
      </c>
      <c r="M252" s="200">
        <v>0</v>
      </c>
      <c r="N252" s="24">
        <f t="shared" si="41"/>
        <v>0</v>
      </c>
      <c r="O252" s="196">
        <f>IFERROR(IF(($N$4-VLOOKUP(REGISTRO_MAESTRO_m3!X252,DISTRIBUCION_CONTENEDORES!$A$3:$D$530,2) ) &lt; 0,0,($N$4-VLOOKUP(X252,DISTRIBUCION_CONTENEDORES!$A$3:$D$530,2) ) * (M252/VLOOKUP(X252,DISTRIBUCION_CONTENEDORES!$A$3:$D$530,2))),0) *$N$5</f>
        <v>0</v>
      </c>
      <c r="P252" s="194">
        <f t="shared" si="46"/>
        <v>0</v>
      </c>
      <c r="Q252" s="190">
        <f t="shared" si="47"/>
        <v>0</v>
      </c>
      <c r="R252" s="188">
        <f t="shared" si="42"/>
        <v>0</v>
      </c>
      <c r="S252" s="213">
        <v>0</v>
      </c>
      <c r="T252" s="191">
        <f t="shared" si="43"/>
        <v>0</v>
      </c>
      <c r="U252" s="187">
        <f t="shared" si="48"/>
        <v>0</v>
      </c>
      <c r="V252" s="203">
        <f t="shared" si="44"/>
        <v>0</v>
      </c>
      <c r="W252" s="56">
        <f t="shared" si="49"/>
        <v>0</v>
      </c>
      <c r="X252" s="207">
        <v>0</v>
      </c>
      <c r="Y252" s="189">
        <v>0</v>
      </c>
      <c r="Z252" s="189">
        <f t="shared" si="45"/>
        <v>0</v>
      </c>
    </row>
    <row r="253" spans="1:26" x14ac:dyDescent="0.35">
      <c r="A253" s="176">
        <v>285</v>
      </c>
      <c r="B253" s="177"/>
      <c r="C253" s="178"/>
      <c r="D253" s="178"/>
      <c r="E253" s="178"/>
      <c r="F253" s="179"/>
      <c r="G253" s="179"/>
      <c r="H253" s="206"/>
      <c r="I253" s="179"/>
      <c r="J253" s="179"/>
      <c r="K253" s="179"/>
      <c r="L253" s="202">
        <v>0</v>
      </c>
      <c r="M253" s="200">
        <v>0</v>
      </c>
      <c r="N253" s="24">
        <f t="shared" si="41"/>
        <v>0</v>
      </c>
      <c r="O253" s="196">
        <f>IFERROR(IF(($N$4-VLOOKUP(REGISTRO_MAESTRO_m3!X253,DISTRIBUCION_CONTENEDORES!$A$3:$D$530,2) ) &lt; 0,0,($N$4-VLOOKUP(X253,DISTRIBUCION_CONTENEDORES!$A$3:$D$530,2) ) * (M253/VLOOKUP(X253,DISTRIBUCION_CONTENEDORES!$A$3:$D$530,2))),0) *$N$5</f>
        <v>0</v>
      </c>
      <c r="P253" s="194">
        <f t="shared" si="46"/>
        <v>0</v>
      </c>
      <c r="Q253" s="190">
        <f t="shared" si="47"/>
        <v>0</v>
      </c>
      <c r="R253" s="188">
        <f t="shared" si="42"/>
        <v>0</v>
      </c>
      <c r="S253" s="213">
        <v>0</v>
      </c>
      <c r="T253" s="191">
        <f t="shared" si="43"/>
        <v>0</v>
      </c>
      <c r="U253" s="187">
        <f t="shared" si="48"/>
        <v>0</v>
      </c>
      <c r="V253" s="203">
        <f t="shared" si="44"/>
        <v>0</v>
      </c>
      <c r="W253" s="56">
        <f t="shared" si="49"/>
        <v>0</v>
      </c>
      <c r="X253" s="207">
        <v>0</v>
      </c>
      <c r="Y253" s="189">
        <v>0</v>
      </c>
      <c r="Z253" s="189">
        <f t="shared" si="45"/>
        <v>0</v>
      </c>
    </row>
    <row r="254" spans="1:26" x14ac:dyDescent="0.35">
      <c r="A254" s="176">
        <v>286</v>
      </c>
      <c r="B254" s="177"/>
      <c r="C254" s="178"/>
      <c r="D254" s="178"/>
      <c r="E254" s="178"/>
      <c r="F254" s="179"/>
      <c r="G254" s="179"/>
      <c r="H254" s="206"/>
      <c r="I254" s="179"/>
      <c r="J254" s="179"/>
      <c r="K254" s="179"/>
      <c r="L254" s="202">
        <v>0</v>
      </c>
      <c r="M254" s="200">
        <v>0</v>
      </c>
      <c r="N254" s="24">
        <f t="shared" si="41"/>
        <v>0</v>
      </c>
      <c r="O254" s="196">
        <f>IFERROR(IF(($N$4-VLOOKUP(REGISTRO_MAESTRO_m3!X254,DISTRIBUCION_CONTENEDORES!$A$3:$D$530,2) ) &lt; 0,0,($N$4-VLOOKUP(X254,DISTRIBUCION_CONTENEDORES!$A$3:$D$530,2) ) * (M254/VLOOKUP(X254,DISTRIBUCION_CONTENEDORES!$A$3:$D$530,2))),0) *$N$5</f>
        <v>0</v>
      </c>
      <c r="P254" s="194">
        <f t="shared" si="46"/>
        <v>0</v>
      </c>
      <c r="Q254" s="190">
        <f t="shared" si="47"/>
        <v>0</v>
      </c>
      <c r="R254" s="188">
        <f t="shared" si="42"/>
        <v>0</v>
      </c>
      <c r="S254" s="213">
        <v>0</v>
      </c>
      <c r="T254" s="191">
        <f t="shared" si="43"/>
        <v>0</v>
      </c>
      <c r="U254" s="187">
        <f t="shared" si="48"/>
        <v>0</v>
      </c>
      <c r="V254" s="203">
        <f t="shared" si="44"/>
        <v>0</v>
      </c>
      <c r="W254" s="56">
        <f t="shared" si="49"/>
        <v>0</v>
      </c>
      <c r="X254" s="207">
        <v>0</v>
      </c>
      <c r="Y254" s="189">
        <v>0</v>
      </c>
      <c r="Z254" s="189">
        <f t="shared" si="45"/>
        <v>0</v>
      </c>
    </row>
    <row r="255" spans="1:26" x14ac:dyDescent="0.35">
      <c r="A255" s="176">
        <v>287</v>
      </c>
      <c r="B255" s="177"/>
      <c r="C255" s="178"/>
      <c r="D255" s="178"/>
      <c r="E255" s="178"/>
      <c r="F255" s="179"/>
      <c r="G255" s="179"/>
      <c r="H255" s="206"/>
      <c r="I255" s="179"/>
      <c r="J255" s="179"/>
      <c r="K255" s="179"/>
      <c r="L255" s="202">
        <v>0</v>
      </c>
      <c r="M255" s="200">
        <v>0</v>
      </c>
      <c r="N255" s="24">
        <f t="shared" si="41"/>
        <v>0</v>
      </c>
      <c r="O255" s="196">
        <f>IFERROR(IF(($N$4-VLOOKUP(REGISTRO_MAESTRO_m3!X255,DISTRIBUCION_CONTENEDORES!$A$3:$D$530,2) ) &lt; 0,0,($N$4-VLOOKUP(X255,DISTRIBUCION_CONTENEDORES!$A$3:$D$530,2) ) * (M255/VLOOKUP(X255,DISTRIBUCION_CONTENEDORES!$A$3:$D$530,2))),0) *$N$5</f>
        <v>0</v>
      </c>
      <c r="P255" s="194">
        <f t="shared" si="46"/>
        <v>0</v>
      </c>
      <c r="Q255" s="190">
        <f t="shared" si="47"/>
        <v>0</v>
      </c>
      <c r="R255" s="188">
        <f t="shared" si="42"/>
        <v>0</v>
      </c>
      <c r="S255" s="213">
        <v>0</v>
      </c>
      <c r="T255" s="191">
        <f t="shared" si="43"/>
        <v>0</v>
      </c>
      <c r="U255" s="187">
        <f t="shared" si="48"/>
        <v>0</v>
      </c>
      <c r="V255" s="203">
        <f t="shared" si="44"/>
        <v>0</v>
      </c>
      <c r="W255" s="56">
        <f t="shared" si="49"/>
        <v>0</v>
      </c>
      <c r="X255" s="207">
        <v>0</v>
      </c>
      <c r="Y255" s="189">
        <v>0</v>
      </c>
      <c r="Z255" s="189">
        <f t="shared" si="45"/>
        <v>0</v>
      </c>
    </row>
    <row r="256" spans="1:26" x14ac:dyDescent="0.35">
      <c r="A256" s="176">
        <v>288</v>
      </c>
      <c r="B256" s="177"/>
      <c r="C256" s="178"/>
      <c r="D256" s="178"/>
      <c r="E256" s="178"/>
      <c r="F256" s="179"/>
      <c r="G256" s="179"/>
      <c r="H256" s="206"/>
      <c r="I256" s="179"/>
      <c r="J256" s="179"/>
      <c r="K256" s="179"/>
      <c r="L256" s="202">
        <v>0</v>
      </c>
      <c r="M256" s="200">
        <v>0</v>
      </c>
      <c r="N256" s="24">
        <f t="shared" si="41"/>
        <v>0</v>
      </c>
      <c r="O256" s="196">
        <f>IFERROR(IF(($N$4-VLOOKUP(REGISTRO_MAESTRO_m3!X256,DISTRIBUCION_CONTENEDORES!$A$3:$D$530,2) ) &lt; 0,0,($N$4-VLOOKUP(X256,DISTRIBUCION_CONTENEDORES!$A$3:$D$530,2) ) * (M256/VLOOKUP(X256,DISTRIBUCION_CONTENEDORES!$A$3:$D$530,2))),0) *$N$5</f>
        <v>0</v>
      </c>
      <c r="P256" s="194">
        <f t="shared" si="46"/>
        <v>0</v>
      </c>
      <c r="Q256" s="190">
        <f t="shared" si="47"/>
        <v>0</v>
      </c>
      <c r="R256" s="188">
        <f t="shared" si="42"/>
        <v>0</v>
      </c>
      <c r="S256" s="213">
        <v>0</v>
      </c>
      <c r="T256" s="191">
        <f t="shared" si="43"/>
        <v>0</v>
      </c>
      <c r="U256" s="187">
        <f t="shared" si="48"/>
        <v>0</v>
      </c>
      <c r="V256" s="203">
        <f t="shared" si="44"/>
        <v>0</v>
      </c>
      <c r="W256" s="56">
        <f t="shared" si="49"/>
        <v>0</v>
      </c>
      <c r="X256" s="207">
        <v>0</v>
      </c>
      <c r="Y256" s="189">
        <v>0</v>
      </c>
      <c r="Z256" s="189">
        <f t="shared" si="45"/>
        <v>0</v>
      </c>
    </row>
    <row r="257" spans="1:26" x14ac:dyDescent="0.35">
      <c r="A257" s="176">
        <v>289</v>
      </c>
      <c r="B257" s="177"/>
      <c r="C257" s="178"/>
      <c r="D257" s="178"/>
      <c r="E257" s="178"/>
      <c r="F257" s="179"/>
      <c r="G257" s="179"/>
      <c r="H257" s="206"/>
      <c r="I257" s="179"/>
      <c r="J257" s="179"/>
      <c r="K257" s="179"/>
      <c r="L257" s="202">
        <v>0</v>
      </c>
      <c r="M257" s="200">
        <v>0</v>
      </c>
      <c r="N257" s="24">
        <f t="shared" si="41"/>
        <v>0</v>
      </c>
      <c r="O257" s="196">
        <f>IFERROR(IF(($N$4-VLOOKUP(REGISTRO_MAESTRO_m3!X257,DISTRIBUCION_CONTENEDORES!$A$3:$D$530,2) ) &lt; 0,0,($N$4-VLOOKUP(X257,DISTRIBUCION_CONTENEDORES!$A$3:$D$530,2) ) * (M257/VLOOKUP(X257,DISTRIBUCION_CONTENEDORES!$A$3:$D$530,2))),0) *$N$5</f>
        <v>0</v>
      </c>
      <c r="P257" s="194">
        <f t="shared" si="46"/>
        <v>0</v>
      </c>
      <c r="Q257" s="190">
        <f t="shared" si="47"/>
        <v>0</v>
      </c>
      <c r="R257" s="188">
        <f t="shared" si="42"/>
        <v>0</v>
      </c>
      <c r="S257" s="213">
        <v>0</v>
      </c>
      <c r="T257" s="191">
        <f t="shared" si="43"/>
        <v>0</v>
      </c>
      <c r="U257" s="187">
        <f t="shared" si="48"/>
        <v>0</v>
      </c>
      <c r="V257" s="203">
        <f t="shared" si="44"/>
        <v>0</v>
      </c>
      <c r="W257" s="56">
        <f t="shared" si="49"/>
        <v>0</v>
      </c>
      <c r="X257" s="207">
        <v>0</v>
      </c>
      <c r="Y257" s="189">
        <v>0</v>
      </c>
      <c r="Z257" s="189">
        <f t="shared" si="45"/>
        <v>0</v>
      </c>
    </row>
    <row r="258" spans="1:26" x14ac:dyDescent="0.35">
      <c r="A258" s="176">
        <v>290</v>
      </c>
      <c r="B258" s="177"/>
      <c r="C258" s="178"/>
      <c r="D258" s="178"/>
      <c r="E258" s="178"/>
      <c r="F258" s="179"/>
      <c r="G258" s="179"/>
      <c r="H258" s="206"/>
      <c r="I258" s="179"/>
      <c r="J258" s="179"/>
      <c r="K258" s="179"/>
      <c r="L258" s="202">
        <v>0</v>
      </c>
      <c r="M258" s="200">
        <v>0</v>
      </c>
      <c r="N258" s="24">
        <f t="shared" si="41"/>
        <v>0</v>
      </c>
      <c r="O258" s="196">
        <f>IFERROR(IF(($N$4-VLOOKUP(REGISTRO_MAESTRO_m3!X258,DISTRIBUCION_CONTENEDORES!$A$3:$D$530,2) ) &lt; 0,0,($N$4-VLOOKUP(X258,DISTRIBUCION_CONTENEDORES!$A$3:$D$530,2) ) * (M258/VLOOKUP(X258,DISTRIBUCION_CONTENEDORES!$A$3:$D$530,2))),0) *$N$5</f>
        <v>0</v>
      </c>
      <c r="P258" s="194">
        <f t="shared" si="46"/>
        <v>0</v>
      </c>
      <c r="Q258" s="190">
        <f t="shared" si="47"/>
        <v>0</v>
      </c>
      <c r="R258" s="188">
        <f t="shared" si="42"/>
        <v>0</v>
      </c>
      <c r="S258" s="213">
        <v>0</v>
      </c>
      <c r="T258" s="191">
        <f t="shared" si="43"/>
        <v>0</v>
      </c>
      <c r="U258" s="187">
        <f t="shared" si="48"/>
        <v>0</v>
      </c>
      <c r="V258" s="203">
        <f t="shared" si="44"/>
        <v>0</v>
      </c>
      <c r="W258" s="56">
        <f t="shared" si="49"/>
        <v>0</v>
      </c>
      <c r="X258" s="207">
        <v>0</v>
      </c>
      <c r="Y258" s="189">
        <v>0</v>
      </c>
      <c r="Z258" s="189">
        <f t="shared" si="45"/>
        <v>0</v>
      </c>
    </row>
    <row r="259" spans="1:26" x14ac:dyDescent="0.35">
      <c r="A259" s="176">
        <v>291</v>
      </c>
      <c r="B259" s="177"/>
      <c r="C259" s="178"/>
      <c r="D259" s="178"/>
      <c r="E259" s="178"/>
      <c r="F259" s="179"/>
      <c r="G259" s="179"/>
      <c r="H259" s="206"/>
      <c r="I259" s="179"/>
      <c r="J259" s="179"/>
      <c r="K259" s="179"/>
      <c r="L259" s="202">
        <v>0</v>
      </c>
      <c r="M259" s="200">
        <v>0</v>
      </c>
      <c r="N259" s="24">
        <f t="shared" si="41"/>
        <v>0</v>
      </c>
      <c r="O259" s="196">
        <f>IFERROR(IF(($N$4-VLOOKUP(REGISTRO_MAESTRO_m3!X259,DISTRIBUCION_CONTENEDORES!$A$3:$D$530,2) ) &lt; 0,0,($N$4-VLOOKUP(X259,DISTRIBUCION_CONTENEDORES!$A$3:$D$530,2) ) * (M259/VLOOKUP(X259,DISTRIBUCION_CONTENEDORES!$A$3:$D$530,2))),0) *$N$5</f>
        <v>0</v>
      </c>
      <c r="P259" s="194">
        <f t="shared" si="46"/>
        <v>0</v>
      </c>
      <c r="Q259" s="190">
        <f t="shared" si="47"/>
        <v>0</v>
      </c>
      <c r="R259" s="188">
        <f t="shared" si="42"/>
        <v>0</v>
      </c>
      <c r="S259" s="213">
        <v>0</v>
      </c>
      <c r="T259" s="191">
        <f t="shared" si="43"/>
        <v>0</v>
      </c>
      <c r="U259" s="187">
        <f t="shared" si="48"/>
        <v>0</v>
      </c>
      <c r="V259" s="203">
        <f t="shared" si="44"/>
        <v>0</v>
      </c>
      <c r="W259" s="56">
        <f t="shared" si="49"/>
        <v>0</v>
      </c>
      <c r="X259" s="207">
        <v>0</v>
      </c>
      <c r="Y259" s="189">
        <v>0</v>
      </c>
      <c r="Z259" s="189">
        <f t="shared" si="45"/>
        <v>0</v>
      </c>
    </row>
    <row r="260" spans="1:26" x14ac:dyDescent="0.35">
      <c r="A260" s="176">
        <v>292</v>
      </c>
      <c r="B260" s="177"/>
      <c r="C260" s="178"/>
      <c r="D260" s="178"/>
      <c r="E260" s="178"/>
      <c r="F260" s="179"/>
      <c r="G260" s="179"/>
      <c r="H260" s="206"/>
      <c r="I260" s="179"/>
      <c r="J260" s="179"/>
      <c r="K260" s="179"/>
      <c r="L260" s="202">
        <v>0</v>
      </c>
      <c r="M260" s="200">
        <v>0</v>
      </c>
      <c r="N260" s="24">
        <f t="shared" si="41"/>
        <v>0</v>
      </c>
      <c r="O260" s="196">
        <f>IFERROR(IF(($N$4-VLOOKUP(REGISTRO_MAESTRO_m3!X260,DISTRIBUCION_CONTENEDORES!$A$3:$D$530,2) ) &lt; 0,0,($N$4-VLOOKUP(X260,DISTRIBUCION_CONTENEDORES!$A$3:$D$530,2) ) * (M260/VLOOKUP(X260,DISTRIBUCION_CONTENEDORES!$A$3:$D$530,2))),0) *$N$5</f>
        <v>0</v>
      </c>
      <c r="P260" s="194">
        <f t="shared" si="46"/>
        <v>0</v>
      </c>
      <c r="Q260" s="190">
        <f t="shared" si="47"/>
        <v>0</v>
      </c>
      <c r="R260" s="188">
        <f t="shared" si="42"/>
        <v>0</v>
      </c>
      <c r="S260" s="213">
        <v>0</v>
      </c>
      <c r="T260" s="191">
        <f t="shared" si="43"/>
        <v>0</v>
      </c>
      <c r="U260" s="187">
        <f t="shared" si="48"/>
        <v>0</v>
      </c>
      <c r="V260" s="203">
        <f t="shared" si="44"/>
        <v>0</v>
      </c>
      <c r="W260" s="56">
        <f t="shared" si="49"/>
        <v>0</v>
      </c>
      <c r="X260" s="207">
        <v>0</v>
      </c>
      <c r="Y260" s="189">
        <v>0</v>
      </c>
      <c r="Z260" s="189">
        <f t="shared" si="45"/>
        <v>0</v>
      </c>
    </row>
    <row r="261" spans="1:26" x14ac:dyDescent="0.35">
      <c r="A261" s="176">
        <v>293</v>
      </c>
      <c r="B261" s="177"/>
      <c r="C261" s="178"/>
      <c r="D261" s="178"/>
      <c r="E261" s="178"/>
      <c r="F261" s="179"/>
      <c r="G261" s="179"/>
      <c r="H261" s="206"/>
      <c r="I261" s="179"/>
      <c r="J261" s="179"/>
      <c r="K261" s="179"/>
      <c r="L261" s="202">
        <v>0</v>
      </c>
      <c r="M261" s="200">
        <v>0</v>
      </c>
      <c r="N261" s="24">
        <f t="shared" si="41"/>
        <v>0</v>
      </c>
      <c r="O261" s="196">
        <f>IFERROR(IF(($N$4-VLOOKUP(REGISTRO_MAESTRO_m3!X261,DISTRIBUCION_CONTENEDORES!$A$3:$D$530,2) ) &lt; 0,0,($N$4-VLOOKUP(X261,DISTRIBUCION_CONTENEDORES!$A$3:$D$530,2) ) * (M261/VLOOKUP(X261,DISTRIBUCION_CONTENEDORES!$A$3:$D$530,2))),0) *$N$5</f>
        <v>0</v>
      </c>
      <c r="P261" s="194">
        <f t="shared" si="46"/>
        <v>0</v>
      </c>
      <c r="Q261" s="190">
        <f t="shared" si="47"/>
        <v>0</v>
      </c>
      <c r="R261" s="188">
        <f t="shared" si="42"/>
        <v>0</v>
      </c>
      <c r="S261" s="213">
        <v>0</v>
      </c>
      <c r="T261" s="191">
        <f t="shared" si="43"/>
        <v>0</v>
      </c>
      <c r="U261" s="187">
        <f t="shared" si="48"/>
        <v>0</v>
      </c>
      <c r="V261" s="203">
        <f t="shared" si="44"/>
        <v>0</v>
      </c>
      <c r="W261" s="56">
        <f t="shared" si="49"/>
        <v>0</v>
      </c>
      <c r="X261" s="207">
        <v>0</v>
      </c>
      <c r="Y261" s="189">
        <v>0</v>
      </c>
      <c r="Z261" s="189">
        <f t="shared" si="45"/>
        <v>0</v>
      </c>
    </row>
    <row r="262" spans="1:26" x14ac:dyDescent="0.35">
      <c r="A262" s="176">
        <v>294</v>
      </c>
      <c r="B262" s="177"/>
      <c r="C262" s="178"/>
      <c r="D262" s="178"/>
      <c r="E262" s="178"/>
      <c r="F262" s="179"/>
      <c r="G262" s="179"/>
      <c r="H262" s="206"/>
      <c r="I262" s="179"/>
      <c r="J262" s="179"/>
      <c r="K262" s="179"/>
      <c r="L262" s="202">
        <v>0</v>
      </c>
      <c r="M262" s="200">
        <v>0</v>
      </c>
      <c r="N262" s="24">
        <f t="shared" si="41"/>
        <v>0</v>
      </c>
      <c r="O262" s="196">
        <f>IFERROR(IF(($N$4-VLOOKUP(REGISTRO_MAESTRO_m3!X262,DISTRIBUCION_CONTENEDORES!$A$3:$D$530,2) ) &lt; 0,0,($N$4-VLOOKUP(X262,DISTRIBUCION_CONTENEDORES!$A$3:$D$530,2) ) * (M262/VLOOKUP(X262,DISTRIBUCION_CONTENEDORES!$A$3:$D$530,2))),0) *$N$5</f>
        <v>0</v>
      </c>
      <c r="P262" s="194">
        <f t="shared" si="46"/>
        <v>0</v>
      </c>
      <c r="Q262" s="190">
        <f t="shared" si="47"/>
        <v>0</v>
      </c>
      <c r="R262" s="188">
        <f t="shared" si="42"/>
        <v>0</v>
      </c>
      <c r="S262" s="213">
        <v>0</v>
      </c>
      <c r="T262" s="191">
        <f t="shared" si="43"/>
        <v>0</v>
      </c>
      <c r="U262" s="187">
        <f t="shared" si="48"/>
        <v>0</v>
      </c>
      <c r="V262" s="203">
        <f t="shared" si="44"/>
        <v>0</v>
      </c>
      <c r="W262" s="56">
        <f t="shared" si="49"/>
        <v>0</v>
      </c>
      <c r="X262" s="207">
        <v>0</v>
      </c>
      <c r="Y262" s="189">
        <v>0</v>
      </c>
      <c r="Z262" s="189">
        <f t="shared" si="45"/>
        <v>0</v>
      </c>
    </row>
    <row r="263" spans="1:26" x14ac:dyDescent="0.35">
      <c r="A263" s="176">
        <v>295</v>
      </c>
      <c r="B263" s="177"/>
      <c r="C263" s="178"/>
      <c r="D263" s="178"/>
      <c r="E263" s="178"/>
      <c r="F263" s="179"/>
      <c r="G263" s="179"/>
      <c r="H263" s="206"/>
      <c r="I263" s="179"/>
      <c r="J263" s="179"/>
      <c r="K263" s="179"/>
      <c r="L263" s="202">
        <v>0</v>
      </c>
      <c r="M263" s="200">
        <v>0</v>
      </c>
      <c r="N263" s="24">
        <f t="shared" si="41"/>
        <v>0</v>
      </c>
      <c r="O263" s="196">
        <f>IFERROR(IF(($N$4-VLOOKUP(REGISTRO_MAESTRO_m3!X263,DISTRIBUCION_CONTENEDORES!$A$3:$D$530,2) ) &lt; 0,0,($N$4-VLOOKUP(X263,DISTRIBUCION_CONTENEDORES!$A$3:$D$530,2) ) * (M263/VLOOKUP(X263,DISTRIBUCION_CONTENEDORES!$A$3:$D$530,2))),0) *$N$5</f>
        <v>0</v>
      </c>
      <c r="P263" s="194">
        <f t="shared" si="46"/>
        <v>0</v>
      </c>
      <c r="Q263" s="190">
        <f t="shared" si="47"/>
        <v>0</v>
      </c>
      <c r="R263" s="188">
        <f t="shared" si="42"/>
        <v>0</v>
      </c>
      <c r="S263" s="213">
        <v>0</v>
      </c>
      <c r="T263" s="191">
        <f t="shared" si="43"/>
        <v>0</v>
      </c>
      <c r="U263" s="187">
        <f t="shared" si="48"/>
        <v>0</v>
      </c>
      <c r="V263" s="203">
        <f t="shared" si="44"/>
        <v>0</v>
      </c>
      <c r="W263" s="56">
        <f t="shared" si="49"/>
        <v>0</v>
      </c>
      <c r="X263" s="207">
        <v>0</v>
      </c>
      <c r="Y263" s="189">
        <v>0</v>
      </c>
      <c r="Z263" s="189">
        <f t="shared" si="45"/>
        <v>0</v>
      </c>
    </row>
    <row r="264" spans="1:26" x14ac:dyDescent="0.35">
      <c r="A264" s="176">
        <v>296</v>
      </c>
      <c r="B264" s="177"/>
      <c r="C264" s="178"/>
      <c r="D264" s="178"/>
      <c r="E264" s="178"/>
      <c r="F264" s="179"/>
      <c r="G264" s="179"/>
      <c r="H264" s="206"/>
      <c r="I264" s="179"/>
      <c r="J264" s="179"/>
      <c r="K264" s="179"/>
      <c r="L264" s="202">
        <v>0</v>
      </c>
      <c r="M264" s="200">
        <v>0</v>
      </c>
      <c r="N264" s="24">
        <f t="shared" si="41"/>
        <v>0</v>
      </c>
      <c r="O264" s="196">
        <f>IFERROR(IF(($N$4-VLOOKUP(REGISTRO_MAESTRO_m3!X264,DISTRIBUCION_CONTENEDORES!$A$3:$D$530,2) ) &lt; 0,0,($N$4-VLOOKUP(X264,DISTRIBUCION_CONTENEDORES!$A$3:$D$530,2) ) * (M264/VLOOKUP(X264,DISTRIBUCION_CONTENEDORES!$A$3:$D$530,2))),0) *$N$5</f>
        <v>0</v>
      </c>
      <c r="P264" s="194">
        <f t="shared" si="46"/>
        <v>0</v>
      </c>
      <c r="Q264" s="190">
        <f t="shared" si="47"/>
        <v>0</v>
      </c>
      <c r="R264" s="188">
        <f t="shared" si="42"/>
        <v>0</v>
      </c>
      <c r="S264" s="213">
        <v>0</v>
      </c>
      <c r="T264" s="191">
        <f t="shared" si="43"/>
        <v>0</v>
      </c>
      <c r="U264" s="187">
        <f t="shared" si="48"/>
        <v>0</v>
      </c>
      <c r="V264" s="203">
        <f t="shared" si="44"/>
        <v>0</v>
      </c>
      <c r="W264" s="56">
        <f t="shared" si="49"/>
        <v>0</v>
      </c>
      <c r="X264" s="207">
        <v>0</v>
      </c>
      <c r="Y264" s="189">
        <v>0</v>
      </c>
      <c r="Z264" s="189">
        <f t="shared" si="45"/>
        <v>0</v>
      </c>
    </row>
    <row r="265" spans="1:26" x14ac:dyDescent="0.35">
      <c r="A265" s="176">
        <v>297</v>
      </c>
      <c r="B265" s="177"/>
      <c r="C265" s="178"/>
      <c r="D265" s="178"/>
      <c r="E265" s="178"/>
      <c r="F265" s="179"/>
      <c r="G265" s="179"/>
      <c r="H265" s="206"/>
      <c r="I265" s="179"/>
      <c r="J265" s="179"/>
      <c r="K265" s="179"/>
      <c r="L265" s="202">
        <v>0</v>
      </c>
      <c r="M265" s="200">
        <v>0</v>
      </c>
      <c r="N265" s="24">
        <f t="shared" si="41"/>
        <v>0</v>
      </c>
      <c r="O265" s="196">
        <f>IFERROR(IF(($N$4-VLOOKUP(REGISTRO_MAESTRO_m3!X265,DISTRIBUCION_CONTENEDORES!$A$3:$D$530,2) ) &lt; 0,0,($N$4-VLOOKUP(X265,DISTRIBUCION_CONTENEDORES!$A$3:$D$530,2) ) * (M265/VLOOKUP(X265,DISTRIBUCION_CONTENEDORES!$A$3:$D$530,2))),0) *$N$5</f>
        <v>0</v>
      </c>
      <c r="P265" s="194">
        <f t="shared" si="46"/>
        <v>0</v>
      </c>
      <c r="Q265" s="190">
        <f t="shared" si="47"/>
        <v>0</v>
      </c>
      <c r="R265" s="188">
        <f t="shared" si="42"/>
        <v>0</v>
      </c>
      <c r="S265" s="213">
        <v>0</v>
      </c>
      <c r="T265" s="191">
        <f t="shared" si="43"/>
        <v>0</v>
      </c>
      <c r="U265" s="187">
        <f t="shared" si="48"/>
        <v>0</v>
      </c>
      <c r="V265" s="203">
        <f t="shared" si="44"/>
        <v>0</v>
      </c>
      <c r="W265" s="56">
        <f t="shared" si="49"/>
        <v>0</v>
      </c>
      <c r="X265" s="207">
        <v>0</v>
      </c>
      <c r="Y265" s="189">
        <v>0</v>
      </c>
      <c r="Z265" s="189">
        <f t="shared" si="45"/>
        <v>0</v>
      </c>
    </row>
    <row r="266" spans="1:26" x14ac:dyDescent="0.35">
      <c r="A266" s="176">
        <v>298</v>
      </c>
      <c r="B266" s="177"/>
      <c r="C266" s="178"/>
      <c r="D266" s="178"/>
      <c r="E266" s="178"/>
      <c r="F266" s="179"/>
      <c r="G266" s="179"/>
      <c r="H266" s="206"/>
      <c r="I266" s="179"/>
      <c r="J266" s="179"/>
      <c r="K266" s="179"/>
      <c r="L266" s="202">
        <v>0</v>
      </c>
      <c r="M266" s="200">
        <v>0</v>
      </c>
      <c r="N266" s="24">
        <f t="shared" si="41"/>
        <v>0</v>
      </c>
      <c r="O266" s="196">
        <f>IFERROR(IF(($N$4-VLOOKUP(REGISTRO_MAESTRO_m3!X266,DISTRIBUCION_CONTENEDORES!$A$3:$D$530,2) ) &lt; 0,0,($N$4-VLOOKUP(X266,DISTRIBUCION_CONTENEDORES!$A$3:$D$530,2) ) * (M266/VLOOKUP(X266,DISTRIBUCION_CONTENEDORES!$A$3:$D$530,2))),0) *$N$5</f>
        <v>0</v>
      </c>
      <c r="P266" s="194">
        <f t="shared" si="46"/>
        <v>0</v>
      </c>
      <c r="Q266" s="190">
        <f t="shared" si="47"/>
        <v>0</v>
      </c>
      <c r="R266" s="188">
        <f t="shared" si="42"/>
        <v>0</v>
      </c>
      <c r="S266" s="213">
        <v>0</v>
      </c>
      <c r="T266" s="191">
        <f t="shared" si="43"/>
        <v>0</v>
      </c>
      <c r="U266" s="187">
        <f t="shared" si="48"/>
        <v>0</v>
      </c>
      <c r="V266" s="203">
        <f t="shared" si="44"/>
        <v>0</v>
      </c>
      <c r="W266" s="56">
        <f t="shared" si="49"/>
        <v>0</v>
      </c>
      <c r="X266" s="207">
        <v>0</v>
      </c>
      <c r="Y266" s="189">
        <v>0</v>
      </c>
      <c r="Z266" s="189">
        <f t="shared" si="45"/>
        <v>0</v>
      </c>
    </row>
    <row r="267" spans="1:26" x14ac:dyDescent="0.35">
      <c r="A267" s="176">
        <v>299</v>
      </c>
      <c r="B267" s="177"/>
      <c r="C267" s="178"/>
      <c r="D267" s="178"/>
      <c r="E267" s="178"/>
      <c r="F267" s="179"/>
      <c r="G267" s="179"/>
      <c r="H267" s="206"/>
      <c r="I267" s="179"/>
      <c r="J267" s="179"/>
      <c r="K267" s="179"/>
      <c r="L267" s="202">
        <v>0</v>
      </c>
      <c r="M267" s="200">
        <v>0</v>
      </c>
      <c r="N267" s="24">
        <f t="shared" si="41"/>
        <v>0</v>
      </c>
      <c r="O267" s="196">
        <f>IFERROR(IF(($N$4-VLOOKUP(REGISTRO_MAESTRO_m3!X267,DISTRIBUCION_CONTENEDORES!$A$3:$D$530,2) ) &lt; 0,0,($N$4-VLOOKUP(X267,DISTRIBUCION_CONTENEDORES!$A$3:$D$530,2) ) * (M267/VLOOKUP(X267,DISTRIBUCION_CONTENEDORES!$A$3:$D$530,2))),0) *$N$5</f>
        <v>0</v>
      </c>
      <c r="P267" s="194">
        <f t="shared" si="46"/>
        <v>0</v>
      </c>
      <c r="Q267" s="190">
        <f t="shared" si="47"/>
        <v>0</v>
      </c>
      <c r="R267" s="188">
        <f t="shared" si="42"/>
        <v>0</v>
      </c>
      <c r="S267" s="213">
        <v>0</v>
      </c>
      <c r="T267" s="191">
        <f t="shared" si="43"/>
        <v>0</v>
      </c>
      <c r="U267" s="187">
        <f t="shared" si="48"/>
        <v>0</v>
      </c>
      <c r="V267" s="203">
        <f t="shared" si="44"/>
        <v>0</v>
      </c>
      <c r="W267" s="56">
        <f t="shared" si="49"/>
        <v>0</v>
      </c>
      <c r="X267" s="207">
        <v>0</v>
      </c>
      <c r="Y267" s="189">
        <v>0</v>
      </c>
      <c r="Z267" s="189">
        <f t="shared" si="45"/>
        <v>0</v>
      </c>
    </row>
    <row r="268" spans="1:26" x14ac:dyDescent="0.35">
      <c r="A268" s="176">
        <v>300</v>
      </c>
      <c r="B268" s="177"/>
      <c r="C268" s="178"/>
      <c r="D268" s="178"/>
      <c r="E268" s="178"/>
      <c r="F268" s="179"/>
      <c r="G268" s="179"/>
      <c r="H268" s="206"/>
      <c r="I268" s="179"/>
      <c r="J268" s="179"/>
      <c r="K268" s="179"/>
      <c r="L268" s="202">
        <v>0</v>
      </c>
      <c r="M268" s="200">
        <v>0</v>
      </c>
      <c r="N268" s="24">
        <f t="shared" si="41"/>
        <v>0</v>
      </c>
      <c r="O268" s="196">
        <f>IFERROR(IF(($N$4-VLOOKUP(REGISTRO_MAESTRO_m3!X268,DISTRIBUCION_CONTENEDORES!$A$3:$D$530,2) ) &lt; 0,0,($N$4-VLOOKUP(X268,DISTRIBUCION_CONTENEDORES!$A$3:$D$530,2) ) * (M268/VLOOKUP(X268,DISTRIBUCION_CONTENEDORES!$A$3:$D$530,2))),0) *$N$5</f>
        <v>0</v>
      </c>
      <c r="P268" s="194">
        <f t="shared" si="46"/>
        <v>0</v>
      </c>
      <c r="Q268" s="190">
        <f t="shared" si="47"/>
        <v>0</v>
      </c>
      <c r="R268" s="188">
        <f t="shared" si="42"/>
        <v>0</v>
      </c>
      <c r="S268" s="213">
        <v>0</v>
      </c>
      <c r="T268" s="191">
        <f t="shared" si="43"/>
        <v>0</v>
      </c>
      <c r="U268" s="187">
        <f t="shared" si="48"/>
        <v>0</v>
      </c>
      <c r="V268" s="203">
        <f t="shared" si="44"/>
        <v>0</v>
      </c>
      <c r="W268" s="56">
        <f t="shared" si="49"/>
        <v>0</v>
      </c>
      <c r="X268" s="207">
        <v>0</v>
      </c>
      <c r="Y268" s="189">
        <v>0</v>
      </c>
      <c r="Z268" s="189">
        <f t="shared" si="45"/>
        <v>0</v>
      </c>
    </row>
    <row r="269" spans="1:26" x14ac:dyDescent="0.35">
      <c r="A269" s="176">
        <v>301</v>
      </c>
      <c r="B269" s="177"/>
      <c r="C269" s="178"/>
      <c r="D269" s="178"/>
      <c r="E269" s="178"/>
      <c r="F269" s="179"/>
      <c r="G269" s="179"/>
      <c r="H269" s="206"/>
      <c r="I269" s="179"/>
      <c r="J269" s="179"/>
      <c r="K269" s="179"/>
      <c r="L269" s="202">
        <v>0</v>
      </c>
      <c r="M269" s="200">
        <v>0</v>
      </c>
      <c r="N269" s="24">
        <f t="shared" si="41"/>
        <v>0</v>
      </c>
      <c r="O269" s="196">
        <f>IFERROR(IF(($N$4-VLOOKUP(REGISTRO_MAESTRO_m3!X269,DISTRIBUCION_CONTENEDORES!$A$3:$D$530,2) ) &lt; 0,0,($N$4-VLOOKUP(X269,DISTRIBUCION_CONTENEDORES!$A$3:$D$530,2) ) * (M269/VLOOKUP(X269,DISTRIBUCION_CONTENEDORES!$A$3:$D$530,2))),0) *$N$5</f>
        <v>0</v>
      </c>
      <c r="P269" s="194">
        <f t="shared" si="46"/>
        <v>0</v>
      </c>
      <c r="Q269" s="190">
        <f t="shared" si="47"/>
        <v>0</v>
      </c>
      <c r="R269" s="188">
        <f t="shared" si="42"/>
        <v>0</v>
      </c>
      <c r="S269" s="213">
        <v>0</v>
      </c>
      <c r="T269" s="191">
        <f t="shared" si="43"/>
        <v>0</v>
      </c>
      <c r="U269" s="187">
        <f t="shared" si="48"/>
        <v>0</v>
      </c>
      <c r="V269" s="203">
        <f t="shared" si="44"/>
        <v>0</v>
      </c>
      <c r="W269" s="56">
        <f t="shared" si="49"/>
        <v>0</v>
      </c>
      <c r="X269" s="207">
        <v>0</v>
      </c>
      <c r="Y269" s="189">
        <v>0</v>
      </c>
      <c r="Z269" s="189">
        <f t="shared" si="45"/>
        <v>0</v>
      </c>
    </row>
    <row r="270" spans="1:26" x14ac:dyDescent="0.35">
      <c r="A270" s="176">
        <v>302</v>
      </c>
      <c r="B270" s="177"/>
      <c r="C270" s="178"/>
      <c r="D270" s="178"/>
      <c r="E270" s="178"/>
      <c r="F270" s="179"/>
      <c r="G270" s="179"/>
      <c r="H270" s="206"/>
      <c r="I270" s="179"/>
      <c r="J270" s="179"/>
      <c r="K270" s="179"/>
      <c r="L270" s="202">
        <v>0</v>
      </c>
      <c r="M270" s="200">
        <v>0</v>
      </c>
      <c r="N270" s="24">
        <f t="shared" si="41"/>
        <v>0</v>
      </c>
      <c r="O270" s="196">
        <f>IFERROR(IF(($N$4-VLOOKUP(REGISTRO_MAESTRO_m3!X270,DISTRIBUCION_CONTENEDORES!$A$3:$D$530,2) ) &lt; 0,0,($N$4-VLOOKUP(X270,DISTRIBUCION_CONTENEDORES!$A$3:$D$530,2) ) * (M270/VLOOKUP(X270,DISTRIBUCION_CONTENEDORES!$A$3:$D$530,2))),0) *$N$5</f>
        <v>0</v>
      </c>
      <c r="P270" s="194">
        <f t="shared" si="46"/>
        <v>0</v>
      </c>
      <c r="Q270" s="190">
        <f t="shared" si="47"/>
        <v>0</v>
      </c>
      <c r="R270" s="188">
        <f t="shared" si="42"/>
        <v>0</v>
      </c>
      <c r="S270" s="213">
        <v>0</v>
      </c>
      <c r="T270" s="191">
        <f t="shared" si="43"/>
        <v>0</v>
      </c>
      <c r="U270" s="187">
        <f t="shared" si="48"/>
        <v>0</v>
      </c>
      <c r="V270" s="203">
        <f t="shared" si="44"/>
        <v>0</v>
      </c>
      <c r="W270" s="56">
        <f t="shared" si="49"/>
        <v>0</v>
      </c>
      <c r="X270" s="207">
        <v>0</v>
      </c>
      <c r="Y270" s="189">
        <v>0</v>
      </c>
      <c r="Z270" s="189">
        <f t="shared" si="45"/>
        <v>0</v>
      </c>
    </row>
    <row r="271" spans="1:26" x14ac:dyDescent="0.35">
      <c r="A271" s="176">
        <v>303</v>
      </c>
      <c r="B271" s="177"/>
      <c r="C271" s="178"/>
      <c r="D271" s="178"/>
      <c r="E271" s="178"/>
      <c r="F271" s="179"/>
      <c r="G271" s="179"/>
      <c r="H271" s="206"/>
      <c r="I271" s="179"/>
      <c r="J271" s="179"/>
      <c r="K271" s="179"/>
      <c r="L271" s="202">
        <v>0</v>
      </c>
      <c r="M271" s="200">
        <v>0</v>
      </c>
      <c r="N271" s="24">
        <f t="shared" si="41"/>
        <v>0</v>
      </c>
      <c r="O271" s="196">
        <f>IFERROR(IF(($N$4-VLOOKUP(REGISTRO_MAESTRO_m3!X271,DISTRIBUCION_CONTENEDORES!$A$3:$D$530,2) ) &lt; 0,0,($N$4-VLOOKUP(X271,DISTRIBUCION_CONTENEDORES!$A$3:$D$530,2) ) * (M271/VLOOKUP(X271,DISTRIBUCION_CONTENEDORES!$A$3:$D$530,2))),0) *$N$5</f>
        <v>0</v>
      </c>
      <c r="P271" s="194">
        <f t="shared" si="46"/>
        <v>0</v>
      </c>
      <c r="Q271" s="190">
        <f t="shared" si="47"/>
        <v>0</v>
      </c>
      <c r="R271" s="188">
        <f t="shared" si="42"/>
        <v>0</v>
      </c>
      <c r="S271" s="213">
        <v>0</v>
      </c>
      <c r="T271" s="191">
        <f t="shared" si="43"/>
        <v>0</v>
      </c>
      <c r="U271" s="187">
        <f t="shared" si="48"/>
        <v>0</v>
      </c>
      <c r="V271" s="203">
        <f t="shared" si="44"/>
        <v>0</v>
      </c>
      <c r="W271" s="56">
        <f t="shared" si="49"/>
        <v>0</v>
      </c>
      <c r="X271" s="207">
        <v>0</v>
      </c>
      <c r="Y271" s="189">
        <v>0</v>
      </c>
      <c r="Z271" s="189">
        <f t="shared" si="45"/>
        <v>0</v>
      </c>
    </row>
    <row r="272" spans="1:26" x14ac:dyDescent="0.35">
      <c r="A272" s="176">
        <v>304</v>
      </c>
      <c r="B272" s="177"/>
      <c r="C272" s="178"/>
      <c r="D272" s="178"/>
      <c r="E272" s="178"/>
      <c r="F272" s="179"/>
      <c r="G272" s="179"/>
      <c r="H272" s="206"/>
      <c r="I272" s="179"/>
      <c r="J272" s="179"/>
      <c r="K272" s="179"/>
      <c r="L272" s="202">
        <v>0</v>
      </c>
      <c r="M272" s="200">
        <v>0</v>
      </c>
      <c r="N272" s="24">
        <f t="shared" si="41"/>
        <v>0</v>
      </c>
      <c r="O272" s="196">
        <f>IFERROR(IF(($N$4-VLOOKUP(REGISTRO_MAESTRO_m3!X272,DISTRIBUCION_CONTENEDORES!$A$3:$D$530,2) ) &lt; 0,0,($N$4-VLOOKUP(X272,DISTRIBUCION_CONTENEDORES!$A$3:$D$530,2) ) * (M272/VLOOKUP(X272,DISTRIBUCION_CONTENEDORES!$A$3:$D$530,2))),0) *$N$5</f>
        <v>0</v>
      </c>
      <c r="P272" s="194">
        <f t="shared" si="46"/>
        <v>0</v>
      </c>
      <c r="Q272" s="190">
        <f t="shared" si="47"/>
        <v>0</v>
      </c>
      <c r="R272" s="188">
        <f t="shared" si="42"/>
        <v>0</v>
      </c>
      <c r="S272" s="213">
        <v>0</v>
      </c>
      <c r="T272" s="191">
        <f t="shared" si="43"/>
        <v>0</v>
      </c>
      <c r="U272" s="187">
        <f t="shared" si="48"/>
        <v>0</v>
      </c>
      <c r="V272" s="203">
        <f t="shared" si="44"/>
        <v>0</v>
      </c>
      <c r="W272" s="56">
        <f t="shared" si="49"/>
        <v>0</v>
      </c>
      <c r="X272" s="207">
        <v>0</v>
      </c>
      <c r="Y272" s="189">
        <v>0</v>
      </c>
      <c r="Z272" s="189">
        <f t="shared" si="45"/>
        <v>0</v>
      </c>
    </row>
    <row r="273" spans="1:26" x14ac:dyDescent="0.35">
      <c r="A273" s="176">
        <v>305</v>
      </c>
      <c r="B273" s="177"/>
      <c r="C273" s="178"/>
      <c r="D273" s="178"/>
      <c r="E273" s="178"/>
      <c r="F273" s="179"/>
      <c r="G273" s="179"/>
      <c r="H273" s="206"/>
      <c r="I273" s="179"/>
      <c r="J273" s="179"/>
      <c r="K273" s="179"/>
      <c r="L273" s="202">
        <v>0</v>
      </c>
      <c r="M273" s="200">
        <v>0</v>
      </c>
      <c r="N273" s="24">
        <f t="shared" si="41"/>
        <v>0</v>
      </c>
      <c r="O273" s="196">
        <f>IFERROR(IF(($N$4-VLOOKUP(REGISTRO_MAESTRO_m3!X273,DISTRIBUCION_CONTENEDORES!$A$3:$D$530,2) ) &lt; 0,0,($N$4-VLOOKUP(X273,DISTRIBUCION_CONTENEDORES!$A$3:$D$530,2) ) * (M273/VLOOKUP(X273,DISTRIBUCION_CONTENEDORES!$A$3:$D$530,2))),0) *$N$5</f>
        <v>0</v>
      </c>
      <c r="P273" s="194">
        <f t="shared" si="46"/>
        <v>0</v>
      </c>
      <c r="Q273" s="190">
        <f t="shared" si="47"/>
        <v>0</v>
      </c>
      <c r="R273" s="188">
        <f t="shared" si="42"/>
        <v>0</v>
      </c>
      <c r="S273" s="213">
        <v>0</v>
      </c>
      <c r="T273" s="191">
        <f t="shared" si="43"/>
        <v>0</v>
      </c>
      <c r="U273" s="187">
        <f t="shared" si="48"/>
        <v>0</v>
      </c>
      <c r="V273" s="203">
        <f t="shared" si="44"/>
        <v>0</v>
      </c>
      <c r="W273" s="56">
        <f t="shared" si="49"/>
        <v>0</v>
      </c>
      <c r="X273" s="207">
        <v>0</v>
      </c>
      <c r="Y273" s="189">
        <v>0</v>
      </c>
      <c r="Z273" s="189">
        <f t="shared" si="45"/>
        <v>0</v>
      </c>
    </row>
    <row r="274" spans="1:26" x14ac:dyDescent="0.35">
      <c r="A274" s="176">
        <v>306</v>
      </c>
      <c r="B274" s="177"/>
      <c r="C274" s="178"/>
      <c r="D274" s="178"/>
      <c r="E274" s="178"/>
      <c r="F274" s="179"/>
      <c r="G274" s="179"/>
      <c r="H274" s="206"/>
      <c r="I274" s="179"/>
      <c r="J274" s="179"/>
      <c r="K274" s="179"/>
      <c r="L274" s="202">
        <v>0</v>
      </c>
      <c r="M274" s="200">
        <v>0</v>
      </c>
      <c r="N274" s="24">
        <f t="shared" si="41"/>
        <v>0</v>
      </c>
      <c r="O274" s="196">
        <f>IFERROR(IF(($N$4-VLOOKUP(REGISTRO_MAESTRO_m3!X274,DISTRIBUCION_CONTENEDORES!$A$3:$D$530,2) ) &lt; 0,0,($N$4-VLOOKUP(X274,DISTRIBUCION_CONTENEDORES!$A$3:$D$530,2) ) * (M274/VLOOKUP(X274,DISTRIBUCION_CONTENEDORES!$A$3:$D$530,2))),0) *$N$5</f>
        <v>0</v>
      </c>
      <c r="P274" s="194">
        <f t="shared" si="46"/>
        <v>0</v>
      </c>
      <c r="Q274" s="190">
        <f t="shared" si="47"/>
        <v>0</v>
      </c>
      <c r="R274" s="188">
        <f t="shared" si="42"/>
        <v>0</v>
      </c>
      <c r="S274" s="213">
        <v>0</v>
      </c>
      <c r="T274" s="191">
        <f t="shared" si="43"/>
        <v>0</v>
      </c>
      <c r="U274" s="187">
        <f t="shared" si="48"/>
        <v>0</v>
      </c>
      <c r="V274" s="203">
        <f t="shared" si="44"/>
        <v>0</v>
      </c>
      <c r="W274" s="56">
        <f t="shared" si="49"/>
        <v>0</v>
      </c>
      <c r="X274" s="207">
        <v>0</v>
      </c>
      <c r="Y274" s="189">
        <v>0</v>
      </c>
      <c r="Z274" s="189">
        <f t="shared" si="45"/>
        <v>0</v>
      </c>
    </row>
    <row r="275" spans="1:26" x14ac:dyDescent="0.35">
      <c r="A275" s="176">
        <v>307</v>
      </c>
      <c r="B275" s="177"/>
      <c r="C275" s="178"/>
      <c r="D275" s="178"/>
      <c r="E275" s="178"/>
      <c r="F275" s="179"/>
      <c r="G275" s="179"/>
      <c r="H275" s="206"/>
      <c r="I275" s="179"/>
      <c r="J275" s="179"/>
      <c r="K275" s="179"/>
      <c r="L275" s="202">
        <v>0</v>
      </c>
      <c r="M275" s="200">
        <v>0</v>
      </c>
      <c r="N275" s="24">
        <f t="shared" si="41"/>
        <v>0</v>
      </c>
      <c r="O275" s="196">
        <f>IFERROR(IF(($N$4-VLOOKUP(REGISTRO_MAESTRO_m3!X275,DISTRIBUCION_CONTENEDORES!$A$3:$D$530,2) ) &lt; 0,0,($N$4-VLOOKUP(X275,DISTRIBUCION_CONTENEDORES!$A$3:$D$530,2) ) * (M275/VLOOKUP(X275,DISTRIBUCION_CONTENEDORES!$A$3:$D$530,2))),0) *$N$5</f>
        <v>0</v>
      </c>
      <c r="P275" s="194">
        <f t="shared" si="46"/>
        <v>0</v>
      </c>
      <c r="Q275" s="190">
        <f t="shared" si="47"/>
        <v>0</v>
      </c>
      <c r="R275" s="188">
        <f t="shared" si="42"/>
        <v>0</v>
      </c>
      <c r="S275" s="213">
        <v>0</v>
      </c>
      <c r="T275" s="191">
        <f t="shared" si="43"/>
        <v>0</v>
      </c>
      <c r="U275" s="187">
        <f t="shared" si="48"/>
        <v>0</v>
      </c>
      <c r="V275" s="203">
        <f t="shared" si="44"/>
        <v>0</v>
      </c>
      <c r="W275" s="56">
        <f t="shared" si="49"/>
        <v>0</v>
      </c>
      <c r="X275" s="207">
        <v>0</v>
      </c>
      <c r="Y275" s="189">
        <v>0</v>
      </c>
      <c r="Z275" s="189">
        <f t="shared" si="45"/>
        <v>0</v>
      </c>
    </row>
    <row r="276" spans="1:26" x14ac:dyDescent="0.35">
      <c r="A276" s="176">
        <v>308</v>
      </c>
      <c r="B276" s="177"/>
      <c r="C276" s="178"/>
      <c r="D276" s="178"/>
      <c r="E276" s="178"/>
      <c r="F276" s="179"/>
      <c r="G276" s="179"/>
      <c r="H276" s="206"/>
      <c r="I276" s="179"/>
      <c r="J276" s="179"/>
      <c r="K276" s="179"/>
      <c r="L276" s="202">
        <v>0</v>
      </c>
      <c r="M276" s="200">
        <v>0</v>
      </c>
      <c r="N276" s="24">
        <f t="shared" si="41"/>
        <v>0</v>
      </c>
      <c r="O276" s="196">
        <f>IFERROR(IF(($N$4-VLOOKUP(REGISTRO_MAESTRO_m3!X276,DISTRIBUCION_CONTENEDORES!$A$3:$D$530,2) ) &lt; 0,0,($N$4-VLOOKUP(X276,DISTRIBUCION_CONTENEDORES!$A$3:$D$530,2) ) * (M276/VLOOKUP(X276,DISTRIBUCION_CONTENEDORES!$A$3:$D$530,2))),0) *$N$5</f>
        <v>0</v>
      </c>
      <c r="P276" s="194">
        <f t="shared" si="46"/>
        <v>0</v>
      </c>
      <c r="Q276" s="190">
        <f t="shared" si="47"/>
        <v>0</v>
      </c>
      <c r="R276" s="188">
        <f t="shared" si="42"/>
        <v>0</v>
      </c>
      <c r="S276" s="213">
        <v>0</v>
      </c>
      <c r="T276" s="191">
        <f t="shared" si="43"/>
        <v>0</v>
      </c>
      <c r="U276" s="187">
        <f t="shared" si="48"/>
        <v>0</v>
      </c>
      <c r="V276" s="203">
        <f t="shared" si="44"/>
        <v>0</v>
      </c>
      <c r="W276" s="56">
        <f t="shared" si="49"/>
        <v>0</v>
      </c>
      <c r="X276" s="207">
        <v>0</v>
      </c>
      <c r="Y276" s="189">
        <v>0</v>
      </c>
      <c r="Z276" s="189">
        <f t="shared" si="45"/>
        <v>0</v>
      </c>
    </row>
    <row r="277" spans="1:26" x14ac:dyDescent="0.35">
      <c r="A277" s="176">
        <v>309</v>
      </c>
      <c r="B277" s="177"/>
      <c r="C277" s="178"/>
      <c r="D277" s="178"/>
      <c r="E277" s="178"/>
      <c r="F277" s="179"/>
      <c r="G277" s="179"/>
      <c r="H277" s="206"/>
      <c r="I277" s="179"/>
      <c r="J277" s="179"/>
      <c r="K277" s="179"/>
      <c r="L277" s="202">
        <v>0</v>
      </c>
      <c r="M277" s="200">
        <v>0</v>
      </c>
      <c r="N277" s="24">
        <f t="shared" si="41"/>
        <v>0</v>
      </c>
      <c r="O277" s="196">
        <f>IFERROR(IF(($N$4-VLOOKUP(REGISTRO_MAESTRO_m3!X277,DISTRIBUCION_CONTENEDORES!$A$3:$D$530,2) ) &lt; 0,0,($N$4-VLOOKUP(X277,DISTRIBUCION_CONTENEDORES!$A$3:$D$530,2) ) * (M277/VLOOKUP(X277,DISTRIBUCION_CONTENEDORES!$A$3:$D$530,2))),0) *$N$5</f>
        <v>0</v>
      </c>
      <c r="P277" s="194">
        <f t="shared" si="46"/>
        <v>0</v>
      </c>
      <c r="Q277" s="190">
        <f t="shared" si="47"/>
        <v>0</v>
      </c>
      <c r="R277" s="188">
        <f t="shared" si="42"/>
        <v>0</v>
      </c>
      <c r="S277" s="213">
        <v>0</v>
      </c>
      <c r="T277" s="191">
        <f t="shared" si="43"/>
        <v>0</v>
      </c>
      <c r="U277" s="187">
        <f t="shared" si="48"/>
        <v>0</v>
      </c>
      <c r="V277" s="203">
        <f t="shared" si="44"/>
        <v>0</v>
      </c>
      <c r="W277" s="56">
        <f t="shared" si="49"/>
        <v>0</v>
      </c>
      <c r="X277" s="207">
        <v>0</v>
      </c>
      <c r="Y277" s="189">
        <v>0</v>
      </c>
      <c r="Z277" s="189">
        <f t="shared" si="45"/>
        <v>0</v>
      </c>
    </row>
    <row r="278" spans="1:26" x14ac:dyDescent="0.35">
      <c r="A278" s="176">
        <v>310</v>
      </c>
      <c r="B278" s="177"/>
      <c r="C278" s="178"/>
      <c r="D278" s="178"/>
      <c r="E278" s="178"/>
      <c r="F278" s="179"/>
      <c r="G278" s="179"/>
      <c r="H278" s="206"/>
      <c r="I278" s="179"/>
      <c r="J278" s="179"/>
      <c r="K278" s="179"/>
      <c r="L278" s="202">
        <v>0</v>
      </c>
      <c r="M278" s="200">
        <v>0</v>
      </c>
      <c r="N278" s="24">
        <f t="shared" si="41"/>
        <v>0</v>
      </c>
      <c r="O278" s="196">
        <f>IFERROR(IF(($N$4-VLOOKUP(REGISTRO_MAESTRO_m3!X278,DISTRIBUCION_CONTENEDORES!$A$3:$D$530,2) ) &lt; 0,0,($N$4-VLOOKUP(X278,DISTRIBUCION_CONTENEDORES!$A$3:$D$530,2) ) * (M278/VLOOKUP(X278,DISTRIBUCION_CONTENEDORES!$A$3:$D$530,2))),0) *$N$5</f>
        <v>0</v>
      </c>
      <c r="P278" s="194">
        <f t="shared" si="46"/>
        <v>0</v>
      </c>
      <c r="Q278" s="190">
        <f t="shared" si="47"/>
        <v>0</v>
      </c>
      <c r="R278" s="188">
        <f t="shared" si="42"/>
        <v>0</v>
      </c>
      <c r="S278" s="213">
        <v>0</v>
      </c>
      <c r="T278" s="191">
        <f t="shared" si="43"/>
        <v>0</v>
      </c>
      <c r="U278" s="187">
        <f t="shared" si="48"/>
        <v>0</v>
      </c>
      <c r="V278" s="203">
        <f t="shared" si="44"/>
        <v>0</v>
      </c>
      <c r="W278" s="56">
        <f t="shared" si="49"/>
        <v>0</v>
      </c>
      <c r="X278" s="207">
        <v>0</v>
      </c>
      <c r="Y278" s="189">
        <v>0</v>
      </c>
      <c r="Z278" s="189">
        <f t="shared" si="45"/>
        <v>0</v>
      </c>
    </row>
    <row r="279" spans="1:26" x14ac:dyDescent="0.35">
      <c r="A279" s="176">
        <v>311</v>
      </c>
      <c r="B279" s="177"/>
      <c r="C279" s="178"/>
      <c r="D279" s="178"/>
      <c r="E279" s="178"/>
      <c r="F279" s="179"/>
      <c r="G279" s="179"/>
      <c r="H279" s="206"/>
      <c r="I279" s="179"/>
      <c r="J279" s="179"/>
      <c r="K279" s="179"/>
      <c r="L279" s="202">
        <v>0</v>
      </c>
      <c r="M279" s="200">
        <v>0</v>
      </c>
      <c r="N279" s="24">
        <f t="shared" si="41"/>
        <v>0</v>
      </c>
      <c r="O279" s="196">
        <f>IFERROR(IF(($N$4-VLOOKUP(REGISTRO_MAESTRO_m3!X279,DISTRIBUCION_CONTENEDORES!$A$3:$D$530,2) ) &lt; 0,0,($N$4-VLOOKUP(X279,DISTRIBUCION_CONTENEDORES!$A$3:$D$530,2) ) * (M279/VLOOKUP(X279,DISTRIBUCION_CONTENEDORES!$A$3:$D$530,2))),0) *$N$5</f>
        <v>0</v>
      </c>
      <c r="P279" s="194">
        <f t="shared" si="46"/>
        <v>0</v>
      </c>
      <c r="Q279" s="190">
        <f t="shared" si="47"/>
        <v>0</v>
      </c>
      <c r="R279" s="188">
        <f t="shared" si="42"/>
        <v>0</v>
      </c>
      <c r="S279" s="213">
        <v>0</v>
      </c>
      <c r="T279" s="191">
        <f t="shared" si="43"/>
        <v>0</v>
      </c>
      <c r="U279" s="187">
        <f t="shared" si="48"/>
        <v>0</v>
      </c>
      <c r="V279" s="203">
        <f t="shared" si="44"/>
        <v>0</v>
      </c>
      <c r="W279" s="56">
        <f t="shared" si="49"/>
        <v>0</v>
      </c>
      <c r="X279" s="207">
        <v>0</v>
      </c>
      <c r="Y279" s="189">
        <v>0</v>
      </c>
      <c r="Z279" s="189">
        <f t="shared" si="45"/>
        <v>0</v>
      </c>
    </row>
    <row r="280" spans="1:26" x14ac:dyDescent="0.35">
      <c r="A280" s="176">
        <v>312</v>
      </c>
      <c r="B280" s="177"/>
      <c r="C280" s="178"/>
      <c r="D280" s="178"/>
      <c r="E280" s="178"/>
      <c r="F280" s="179"/>
      <c r="G280" s="179"/>
      <c r="H280" s="206"/>
      <c r="I280" s="179"/>
      <c r="J280" s="179"/>
      <c r="K280" s="179"/>
      <c r="L280" s="202">
        <v>0</v>
      </c>
      <c r="M280" s="200">
        <v>0</v>
      </c>
      <c r="N280" s="24">
        <f t="shared" si="41"/>
        <v>0</v>
      </c>
      <c r="O280" s="196">
        <f>IFERROR(IF(($N$4-VLOOKUP(REGISTRO_MAESTRO_m3!X280,DISTRIBUCION_CONTENEDORES!$A$3:$D$530,2) ) &lt; 0,0,($N$4-VLOOKUP(X280,DISTRIBUCION_CONTENEDORES!$A$3:$D$530,2) ) * (M280/VLOOKUP(X280,DISTRIBUCION_CONTENEDORES!$A$3:$D$530,2))),0) *$N$5</f>
        <v>0</v>
      </c>
      <c r="P280" s="194">
        <f t="shared" si="46"/>
        <v>0</v>
      </c>
      <c r="Q280" s="190">
        <f t="shared" si="47"/>
        <v>0</v>
      </c>
      <c r="R280" s="188">
        <f t="shared" si="42"/>
        <v>0</v>
      </c>
      <c r="S280" s="213">
        <v>0</v>
      </c>
      <c r="T280" s="191">
        <f t="shared" si="43"/>
        <v>0</v>
      </c>
      <c r="U280" s="187">
        <f t="shared" si="48"/>
        <v>0</v>
      </c>
      <c r="V280" s="203">
        <f t="shared" si="44"/>
        <v>0</v>
      </c>
      <c r="W280" s="56">
        <f t="shared" si="49"/>
        <v>0</v>
      </c>
      <c r="X280" s="207">
        <v>0</v>
      </c>
      <c r="Y280" s="189">
        <v>0</v>
      </c>
      <c r="Z280" s="189">
        <f t="shared" si="45"/>
        <v>0</v>
      </c>
    </row>
    <row r="281" spans="1:26" x14ac:dyDescent="0.35">
      <c r="A281" s="176">
        <v>313</v>
      </c>
      <c r="B281" s="177"/>
      <c r="C281" s="178"/>
      <c r="D281" s="178"/>
      <c r="E281" s="178"/>
      <c r="F281" s="179"/>
      <c r="G281" s="179"/>
      <c r="H281" s="206"/>
      <c r="I281" s="179"/>
      <c r="J281" s="179"/>
      <c r="K281" s="179"/>
      <c r="L281" s="202">
        <v>0</v>
      </c>
      <c r="M281" s="200">
        <v>0</v>
      </c>
      <c r="N281" s="24">
        <f t="shared" si="41"/>
        <v>0</v>
      </c>
      <c r="O281" s="196">
        <f>IFERROR(IF(($N$4-VLOOKUP(REGISTRO_MAESTRO_m3!X281,DISTRIBUCION_CONTENEDORES!$A$3:$D$530,2) ) &lt; 0,0,($N$4-VLOOKUP(X281,DISTRIBUCION_CONTENEDORES!$A$3:$D$530,2) ) * (M281/VLOOKUP(X281,DISTRIBUCION_CONTENEDORES!$A$3:$D$530,2))),0) *$N$5</f>
        <v>0</v>
      </c>
      <c r="P281" s="194">
        <f t="shared" si="46"/>
        <v>0</v>
      </c>
      <c r="Q281" s="190">
        <f t="shared" si="47"/>
        <v>0</v>
      </c>
      <c r="R281" s="188">
        <f t="shared" si="42"/>
        <v>0</v>
      </c>
      <c r="S281" s="213">
        <v>0</v>
      </c>
      <c r="T281" s="191">
        <f t="shared" si="43"/>
        <v>0</v>
      </c>
      <c r="U281" s="187">
        <f t="shared" si="48"/>
        <v>0</v>
      </c>
      <c r="V281" s="203">
        <f t="shared" si="44"/>
        <v>0</v>
      </c>
      <c r="W281" s="56">
        <f t="shared" si="49"/>
        <v>0</v>
      </c>
      <c r="X281" s="207">
        <v>0</v>
      </c>
      <c r="Y281" s="189">
        <v>0</v>
      </c>
      <c r="Z281" s="189">
        <f t="shared" si="45"/>
        <v>0</v>
      </c>
    </row>
    <row r="282" spans="1:26" x14ac:dyDescent="0.35">
      <c r="A282" s="176">
        <v>314</v>
      </c>
      <c r="B282" s="177"/>
      <c r="C282" s="178"/>
      <c r="D282" s="178"/>
      <c r="E282" s="178"/>
      <c r="F282" s="179"/>
      <c r="G282" s="179"/>
      <c r="H282" s="206"/>
      <c r="I282" s="179"/>
      <c r="J282" s="179"/>
      <c r="K282" s="179"/>
      <c r="L282" s="202">
        <v>0</v>
      </c>
      <c r="M282" s="200">
        <v>0</v>
      </c>
      <c r="N282" s="24">
        <f t="shared" si="41"/>
        <v>0</v>
      </c>
      <c r="O282" s="196">
        <f>IFERROR(IF(($N$4-VLOOKUP(REGISTRO_MAESTRO_m3!X282,DISTRIBUCION_CONTENEDORES!$A$3:$D$530,2) ) &lt; 0,0,($N$4-VLOOKUP(X282,DISTRIBUCION_CONTENEDORES!$A$3:$D$530,2) ) * (M282/VLOOKUP(X282,DISTRIBUCION_CONTENEDORES!$A$3:$D$530,2))),0) *$N$5</f>
        <v>0</v>
      </c>
      <c r="P282" s="194">
        <f t="shared" si="46"/>
        <v>0</v>
      </c>
      <c r="Q282" s="190">
        <f t="shared" si="47"/>
        <v>0</v>
      </c>
      <c r="R282" s="188">
        <f t="shared" si="42"/>
        <v>0</v>
      </c>
      <c r="S282" s="213">
        <v>0</v>
      </c>
      <c r="T282" s="191">
        <f t="shared" si="43"/>
        <v>0</v>
      </c>
      <c r="U282" s="187">
        <f t="shared" si="48"/>
        <v>0</v>
      </c>
      <c r="V282" s="203">
        <f t="shared" si="44"/>
        <v>0</v>
      </c>
      <c r="W282" s="56">
        <f t="shared" si="49"/>
        <v>0</v>
      </c>
      <c r="X282" s="207">
        <v>0</v>
      </c>
      <c r="Y282" s="189">
        <v>0</v>
      </c>
      <c r="Z282" s="189">
        <f t="shared" si="45"/>
        <v>0</v>
      </c>
    </row>
    <row r="283" spans="1:26" x14ac:dyDescent="0.35">
      <c r="A283" s="176">
        <v>315</v>
      </c>
      <c r="B283" s="177"/>
      <c r="C283" s="178"/>
      <c r="D283" s="178"/>
      <c r="E283" s="178"/>
      <c r="F283" s="179"/>
      <c r="G283" s="179"/>
      <c r="H283" s="206"/>
      <c r="I283" s="179"/>
      <c r="J283" s="179"/>
      <c r="K283" s="179"/>
      <c r="L283" s="202">
        <v>0</v>
      </c>
      <c r="M283" s="200">
        <v>0</v>
      </c>
      <c r="N283" s="24">
        <f t="shared" si="41"/>
        <v>0</v>
      </c>
      <c r="O283" s="196">
        <f>IFERROR(IF(($N$4-VLOOKUP(REGISTRO_MAESTRO_m3!X283,DISTRIBUCION_CONTENEDORES!$A$3:$D$530,2) ) &lt; 0,0,($N$4-VLOOKUP(X283,DISTRIBUCION_CONTENEDORES!$A$3:$D$530,2) ) * (M283/VLOOKUP(X283,DISTRIBUCION_CONTENEDORES!$A$3:$D$530,2))),0) *$N$5</f>
        <v>0</v>
      </c>
      <c r="P283" s="194">
        <f t="shared" si="46"/>
        <v>0</v>
      </c>
      <c r="Q283" s="190">
        <f t="shared" si="47"/>
        <v>0</v>
      </c>
      <c r="R283" s="188">
        <f t="shared" si="42"/>
        <v>0</v>
      </c>
      <c r="S283" s="213">
        <v>0</v>
      </c>
      <c r="T283" s="191">
        <f t="shared" si="43"/>
        <v>0</v>
      </c>
      <c r="U283" s="187">
        <f t="shared" si="48"/>
        <v>0</v>
      </c>
      <c r="V283" s="203">
        <f t="shared" si="44"/>
        <v>0</v>
      </c>
      <c r="W283" s="56">
        <f t="shared" si="49"/>
        <v>0</v>
      </c>
      <c r="X283" s="207">
        <v>0</v>
      </c>
      <c r="Y283" s="189">
        <v>0</v>
      </c>
      <c r="Z283" s="189">
        <f t="shared" si="45"/>
        <v>0</v>
      </c>
    </row>
    <row r="284" spans="1:26" x14ac:dyDescent="0.35">
      <c r="A284" s="176">
        <v>316</v>
      </c>
      <c r="B284" s="177"/>
      <c r="C284" s="178"/>
      <c r="D284" s="178"/>
      <c r="E284" s="178"/>
      <c r="F284" s="179"/>
      <c r="G284" s="179"/>
      <c r="H284" s="206"/>
      <c r="I284" s="179"/>
      <c r="J284" s="179"/>
      <c r="K284" s="179"/>
      <c r="L284" s="202">
        <v>0</v>
      </c>
      <c r="M284" s="200">
        <v>0</v>
      </c>
      <c r="N284" s="24">
        <f t="shared" si="41"/>
        <v>0</v>
      </c>
      <c r="O284" s="196">
        <f>IFERROR(IF(($N$4-VLOOKUP(REGISTRO_MAESTRO_m3!X284,DISTRIBUCION_CONTENEDORES!$A$3:$D$530,2) ) &lt; 0,0,($N$4-VLOOKUP(X284,DISTRIBUCION_CONTENEDORES!$A$3:$D$530,2) ) * (M284/VLOOKUP(X284,DISTRIBUCION_CONTENEDORES!$A$3:$D$530,2))),0) *$N$5</f>
        <v>0</v>
      </c>
      <c r="P284" s="194">
        <f t="shared" si="46"/>
        <v>0</v>
      </c>
      <c r="Q284" s="190">
        <f t="shared" si="47"/>
        <v>0</v>
      </c>
      <c r="R284" s="188">
        <f t="shared" si="42"/>
        <v>0</v>
      </c>
      <c r="S284" s="213">
        <v>0</v>
      </c>
      <c r="T284" s="191">
        <f t="shared" si="43"/>
        <v>0</v>
      </c>
      <c r="U284" s="187">
        <f t="shared" si="48"/>
        <v>0</v>
      </c>
      <c r="V284" s="203">
        <f t="shared" si="44"/>
        <v>0</v>
      </c>
      <c r="W284" s="56">
        <f t="shared" si="49"/>
        <v>0</v>
      </c>
      <c r="X284" s="207">
        <v>0</v>
      </c>
      <c r="Y284" s="189">
        <v>0</v>
      </c>
      <c r="Z284" s="189">
        <f t="shared" si="45"/>
        <v>0</v>
      </c>
    </row>
    <row r="285" spans="1:26" x14ac:dyDescent="0.35">
      <c r="A285" s="176">
        <v>317</v>
      </c>
      <c r="B285" s="177"/>
      <c r="C285" s="178"/>
      <c r="D285" s="178"/>
      <c r="E285" s="178"/>
      <c r="F285" s="179"/>
      <c r="G285" s="179"/>
      <c r="H285" s="206"/>
      <c r="I285" s="179"/>
      <c r="J285" s="179"/>
      <c r="K285" s="179"/>
      <c r="L285" s="202">
        <v>0</v>
      </c>
      <c r="M285" s="200">
        <v>0</v>
      </c>
      <c r="N285" s="24">
        <f t="shared" si="41"/>
        <v>0</v>
      </c>
      <c r="O285" s="196">
        <f>IFERROR(IF(($N$4-VLOOKUP(REGISTRO_MAESTRO_m3!X285,DISTRIBUCION_CONTENEDORES!$A$3:$D$530,2) ) &lt; 0,0,($N$4-VLOOKUP(X285,DISTRIBUCION_CONTENEDORES!$A$3:$D$530,2) ) * (M285/VLOOKUP(X285,DISTRIBUCION_CONTENEDORES!$A$3:$D$530,2))),0) *$N$5</f>
        <v>0</v>
      </c>
      <c r="P285" s="194">
        <f t="shared" si="46"/>
        <v>0</v>
      </c>
      <c r="Q285" s="190">
        <f t="shared" si="47"/>
        <v>0</v>
      </c>
      <c r="R285" s="188">
        <f t="shared" si="42"/>
        <v>0</v>
      </c>
      <c r="S285" s="213">
        <v>0</v>
      </c>
      <c r="T285" s="191">
        <f t="shared" si="43"/>
        <v>0</v>
      </c>
      <c r="U285" s="187">
        <f t="shared" si="48"/>
        <v>0</v>
      </c>
      <c r="V285" s="203">
        <f t="shared" si="44"/>
        <v>0</v>
      </c>
      <c r="W285" s="56">
        <f t="shared" si="49"/>
        <v>0</v>
      </c>
      <c r="X285" s="207">
        <v>0</v>
      </c>
      <c r="Y285" s="189">
        <v>0</v>
      </c>
      <c r="Z285" s="189">
        <f t="shared" si="45"/>
        <v>0</v>
      </c>
    </row>
    <row r="286" spans="1:26" x14ac:dyDescent="0.35">
      <c r="A286" s="176">
        <v>318</v>
      </c>
      <c r="B286" s="177"/>
      <c r="C286" s="178"/>
      <c r="D286" s="178"/>
      <c r="E286" s="178"/>
      <c r="F286" s="179"/>
      <c r="G286" s="179"/>
      <c r="H286" s="206"/>
      <c r="I286" s="179"/>
      <c r="J286" s="179"/>
      <c r="K286" s="179"/>
      <c r="L286" s="202">
        <v>0</v>
      </c>
      <c r="M286" s="200">
        <v>0</v>
      </c>
      <c r="N286" s="24">
        <f t="shared" si="41"/>
        <v>0</v>
      </c>
      <c r="O286" s="196">
        <f>IFERROR(IF(($N$4-VLOOKUP(REGISTRO_MAESTRO_m3!X286,DISTRIBUCION_CONTENEDORES!$A$3:$D$530,2) ) &lt; 0,0,($N$4-VLOOKUP(X286,DISTRIBUCION_CONTENEDORES!$A$3:$D$530,2) ) * (M286/VLOOKUP(X286,DISTRIBUCION_CONTENEDORES!$A$3:$D$530,2))),0) *$N$5</f>
        <v>0</v>
      </c>
      <c r="P286" s="194">
        <f t="shared" si="46"/>
        <v>0</v>
      </c>
      <c r="Q286" s="190">
        <f t="shared" si="47"/>
        <v>0</v>
      </c>
      <c r="R286" s="188">
        <f t="shared" si="42"/>
        <v>0</v>
      </c>
      <c r="S286" s="213">
        <v>0</v>
      </c>
      <c r="T286" s="191">
        <f t="shared" si="43"/>
        <v>0</v>
      </c>
      <c r="U286" s="187">
        <f t="shared" si="48"/>
        <v>0</v>
      </c>
      <c r="V286" s="203">
        <f t="shared" si="44"/>
        <v>0</v>
      </c>
      <c r="W286" s="56">
        <f t="shared" si="49"/>
        <v>0</v>
      </c>
      <c r="X286" s="207">
        <v>0</v>
      </c>
      <c r="Y286" s="189">
        <v>0</v>
      </c>
      <c r="Z286" s="189">
        <f t="shared" si="45"/>
        <v>0</v>
      </c>
    </row>
    <row r="287" spans="1:26" x14ac:dyDescent="0.35">
      <c r="A287" s="176">
        <v>319</v>
      </c>
      <c r="B287" s="177"/>
      <c r="C287" s="178"/>
      <c r="D287" s="178"/>
      <c r="E287" s="178"/>
      <c r="F287" s="179"/>
      <c r="G287" s="179"/>
      <c r="H287" s="206"/>
      <c r="I287" s="179"/>
      <c r="J287" s="179"/>
      <c r="K287" s="179"/>
      <c r="L287" s="202">
        <v>0</v>
      </c>
      <c r="M287" s="200">
        <v>0</v>
      </c>
      <c r="N287" s="24">
        <f t="shared" si="41"/>
        <v>0</v>
      </c>
      <c r="O287" s="196">
        <f>IFERROR(IF(($N$4-VLOOKUP(REGISTRO_MAESTRO_m3!X287,DISTRIBUCION_CONTENEDORES!$A$3:$D$530,2) ) &lt; 0,0,($N$4-VLOOKUP(X287,DISTRIBUCION_CONTENEDORES!$A$3:$D$530,2) ) * (M287/VLOOKUP(X287,DISTRIBUCION_CONTENEDORES!$A$3:$D$530,2))),0) *$N$5</f>
        <v>0</v>
      </c>
      <c r="P287" s="194">
        <f t="shared" si="46"/>
        <v>0</v>
      </c>
      <c r="Q287" s="190">
        <f t="shared" si="47"/>
        <v>0</v>
      </c>
      <c r="R287" s="188">
        <f t="shared" si="42"/>
        <v>0</v>
      </c>
      <c r="S287" s="213">
        <v>0</v>
      </c>
      <c r="T287" s="191">
        <f t="shared" si="43"/>
        <v>0</v>
      </c>
      <c r="U287" s="187">
        <f t="shared" si="48"/>
        <v>0</v>
      </c>
      <c r="V287" s="203">
        <f t="shared" si="44"/>
        <v>0</v>
      </c>
      <c r="W287" s="56">
        <f t="shared" si="49"/>
        <v>0</v>
      </c>
      <c r="X287" s="207">
        <v>0</v>
      </c>
      <c r="Y287" s="189">
        <v>0</v>
      </c>
      <c r="Z287" s="189">
        <f t="shared" si="45"/>
        <v>0</v>
      </c>
    </row>
    <row r="288" spans="1:26" x14ac:dyDescent="0.35">
      <c r="A288" s="176">
        <v>320</v>
      </c>
      <c r="B288" s="177"/>
      <c r="C288" s="178"/>
      <c r="D288" s="178"/>
      <c r="E288" s="178"/>
      <c r="F288" s="179"/>
      <c r="G288" s="179"/>
      <c r="H288" s="206"/>
      <c r="I288" s="179"/>
      <c r="J288" s="179"/>
      <c r="K288" s="179"/>
      <c r="L288" s="202">
        <v>0</v>
      </c>
      <c r="M288" s="200">
        <v>0</v>
      </c>
      <c r="N288" s="24">
        <f t="shared" si="41"/>
        <v>0</v>
      </c>
      <c r="O288" s="196">
        <f>IFERROR(IF(($N$4-VLOOKUP(REGISTRO_MAESTRO_m3!X288,DISTRIBUCION_CONTENEDORES!$A$3:$D$530,2) ) &lt; 0,0,($N$4-VLOOKUP(X288,DISTRIBUCION_CONTENEDORES!$A$3:$D$530,2) ) * (M288/VLOOKUP(X288,DISTRIBUCION_CONTENEDORES!$A$3:$D$530,2))),0) *$N$5</f>
        <v>0</v>
      </c>
      <c r="P288" s="194">
        <f t="shared" si="46"/>
        <v>0</v>
      </c>
      <c r="Q288" s="190">
        <f t="shared" si="47"/>
        <v>0</v>
      </c>
      <c r="R288" s="188">
        <f t="shared" si="42"/>
        <v>0</v>
      </c>
      <c r="S288" s="213">
        <v>0</v>
      </c>
      <c r="T288" s="191">
        <f t="shared" si="43"/>
        <v>0</v>
      </c>
      <c r="U288" s="187">
        <f t="shared" si="48"/>
        <v>0</v>
      </c>
      <c r="V288" s="203">
        <f t="shared" si="44"/>
        <v>0</v>
      </c>
      <c r="W288" s="56">
        <f t="shared" si="49"/>
        <v>0</v>
      </c>
      <c r="X288" s="207">
        <v>0</v>
      </c>
      <c r="Y288" s="189">
        <v>0</v>
      </c>
      <c r="Z288" s="189">
        <f t="shared" si="45"/>
        <v>0</v>
      </c>
    </row>
    <row r="289" spans="1:26" x14ac:dyDescent="0.35">
      <c r="A289" s="176">
        <v>321</v>
      </c>
      <c r="B289" s="177"/>
      <c r="C289" s="178"/>
      <c r="D289" s="178"/>
      <c r="E289" s="178"/>
      <c r="F289" s="179"/>
      <c r="G289" s="179"/>
      <c r="H289" s="206"/>
      <c r="I289" s="179"/>
      <c r="J289" s="179"/>
      <c r="K289" s="179"/>
      <c r="L289" s="202">
        <v>0</v>
      </c>
      <c r="M289" s="200">
        <v>0</v>
      </c>
      <c r="N289" s="24">
        <f t="shared" si="41"/>
        <v>0</v>
      </c>
      <c r="O289" s="196">
        <f>IFERROR(IF(($N$4-VLOOKUP(REGISTRO_MAESTRO_m3!X289,DISTRIBUCION_CONTENEDORES!$A$3:$D$530,2) ) &lt; 0,0,($N$4-VLOOKUP(X289,DISTRIBUCION_CONTENEDORES!$A$3:$D$530,2) ) * (M289/VLOOKUP(X289,DISTRIBUCION_CONTENEDORES!$A$3:$D$530,2))),0) *$N$5</f>
        <v>0</v>
      </c>
      <c r="P289" s="194">
        <f t="shared" si="46"/>
        <v>0</v>
      </c>
      <c r="Q289" s="190">
        <f t="shared" si="47"/>
        <v>0</v>
      </c>
      <c r="R289" s="188">
        <f t="shared" si="42"/>
        <v>0</v>
      </c>
      <c r="S289" s="213">
        <v>0</v>
      </c>
      <c r="T289" s="191">
        <f t="shared" si="43"/>
        <v>0</v>
      </c>
      <c r="U289" s="187">
        <f t="shared" si="48"/>
        <v>0</v>
      </c>
      <c r="V289" s="203">
        <f t="shared" si="44"/>
        <v>0</v>
      </c>
      <c r="W289" s="56">
        <f t="shared" si="49"/>
        <v>0</v>
      </c>
      <c r="X289" s="207">
        <v>0</v>
      </c>
      <c r="Y289" s="189">
        <v>0</v>
      </c>
      <c r="Z289" s="189">
        <f t="shared" si="45"/>
        <v>0</v>
      </c>
    </row>
    <row r="290" spans="1:26" x14ac:dyDescent="0.35">
      <c r="A290" s="176">
        <v>322</v>
      </c>
      <c r="B290" s="177"/>
      <c r="C290" s="178"/>
      <c r="D290" s="178"/>
      <c r="E290" s="178"/>
      <c r="F290" s="179"/>
      <c r="G290" s="179"/>
      <c r="H290" s="206"/>
      <c r="I290" s="179"/>
      <c r="J290" s="179"/>
      <c r="K290" s="179"/>
      <c r="L290" s="202">
        <v>0</v>
      </c>
      <c r="M290" s="200">
        <v>0</v>
      </c>
      <c r="N290" s="24">
        <f t="shared" si="41"/>
        <v>0</v>
      </c>
      <c r="O290" s="196">
        <f>IFERROR(IF(($N$4-VLOOKUP(REGISTRO_MAESTRO_m3!X290,DISTRIBUCION_CONTENEDORES!$A$3:$D$530,2) ) &lt; 0,0,($N$4-VLOOKUP(X290,DISTRIBUCION_CONTENEDORES!$A$3:$D$530,2) ) * (M290/VLOOKUP(X290,DISTRIBUCION_CONTENEDORES!$A$3:$D$530,2))),0) *$N$5</f>
        <v>0</v>
      </c>
      <c r="P290" s="194">
        <f t="shared" si="46"/>
        <v>0</v>
      </c>
      <c r="Q290" s="190">
        <f t="shared" si="47"/>
        <v>0</v>
      </c>
      <c r="R290" s="188">
        <f t="shared" si="42"/>
        <v>0</v>
      </c>
      <c r="S290" s="213">
        <v>0</v>
      </c>
      <c r="T290" s="191">
        <f t="shared" si="43"/>
        <v>0</v>
      </c>
      <c r="U290" s="187">
        <f t="shared" si="48"/>
        <v>0</v>
      </c>
      <c r="V290" s="203">
        <f t="shared" si="44"/>
        <v>0</v>
      </c>
      <c r="W290" s="56">
        <f t="shared" si="49"/>
        <v>0</v>
      </c>
      <c r="X290" s="207">
        <v>0</v>
      </c>
      <c r="Y290" s="189">
        <v>0</v>
      </c>
      <c r="Z290" s="189">
        <f t="shared" si="45"/>
        <v>0</v>
      </c>
    </row>
    <row r="291" spans="1:26" x14ac:dyDescent="0.35">
      <c r="A291" s="176">
        <v>323</v>
      </c>
      <c r="B291" s="177"/>
      <c r="C291" s="178"/>
      <c r="D291" s="178"/>
      <c r="E291" s="178"/>
      <c r="F291" s="179"/>
      <c r="G291" s="179"/>
      <c r="H291" s="206"/>
      <c r="I291" s="179"/>
      <c r="J291" s="179"/>
      <c r="K291" s="179"/>
      <c r="L291" s="202">
        <v>0</v>
      </c>
      <c r="M291" s="200">
        <v>0</v>
      </c>
      <c r="N291" s="24">
        <f t="shared" ref="N291:N354" si="50">PRODUCT(M291,$N$5)</f>
        <v>0</v>
      </c>
      <c r="O291" s="196">
        <f>IFERROR(IF(($N$4-VLOOKUP(REGISTRO_MAESTRO_m3!X291,DISTRIBUCION_CONTENEDORES!$A$3:$D$530,2) ) &lt; 0,0,($N$4-VLOOKUP(X291,DISTRIBUCION_CONTENEDORES!$A$3:$D$530,2) ) * (M291/VLOOKUP(X291,DISTRIBUCION_CONTENEDORES!$A$3:$D$530,2))),0) *$N$5</f>
        <v>0</v>
      </c>
      <c r="P291" s="194">
        <f t="shared" si="46"/>
        <v>0</v>
      </c>
      <c r="Q291" s="190">
        <f t="shared" si="47"/>
        <v>0</v>
      </c>
      <c r="R291" s="188">
        <f t="shared" ref="R291:R354" si="51">IFERROR(S291/$N$5,0)</f>
        <v>0</v>
      </c>
      <c r="S291" s="213">
        <v>0</v>
      </c>
      <c r="T291" s="191">
        <f t="shared" ref="T291:T354" si="52">U291/$N$5</f>
        <v>0</v>
      </c>
      <c r="U291" s="187">
        <f t="shared" si="48"/>
        <v>0</v>
      </c>
      <c r="V291" s="203">
        <f t="shared" ref="V291:V354" si="53">U291/$N$6</f>
        <v>0</v>
      </c>
      <c r="W291" s="56">
        <f t="shared" si="49"/>
        <v>0</v>
      </c>
      <c r="X291" s="207">
        <v>0</v>
      </c>
      <c r="Y291" s="189">
        <v>0</v>
      </c>
      <c r="Z291" s="189">
        <f t="shared" ref="Z291:Z354" si="54">Y291*4.75*668</f>
        <v>0</v>
      </c>
    </row>
    <row r="292" spans="1:26" x14ac:dyDescent="0.35">
      <c r="A292" s="176">
        <v>324</v>
      </c>
      <c r="B292" s="177"/>
      <c r="C292" s="178"/>
      <c r="D292" s="178"/>
      <c r="E292" s="178"/>
      <c r="F292" s="179"/>
      <c r="G292" s="179"/>
      <c r="H292" s="206"/>
      <c r="I292" s="179"/>
      <c r="J292" s="179"/>
      <c r="K292" s="179"/>
      <c r="L292" s="202">
        <v>0</v>
      </c>
      <c r="M292" s="200">
        <v>0</v>
      </c>
      <c r="N292" s="24">
        <f t="shared" si="50"/>
        <v>0</v>
      </c>
      <c r="O292" s="196">
        <f>IFERROR(IF(($N$4-VLOOKUP(REGISTRO_MAESTRO_m3!X292,DISTRIBUCION_CONTENEDORES!$A$3:$D$530,2) ) &lt; 0,0,($N$4-VLOOKUP(X292,DISTRIBUCION_CONTENEDORES!$A$3:$D$530,2) ) * (M292/VLOOKUP(X292,DISTRIBUCION_CONTENEDORES!$A$3:$D$530,2))),0) *$N$5</f>
        <v>0</v>
      </c>
      <c r="P292" s="194">
        <f t="shared" si="46"/>
        <v>0</v>
      </c>
      <c r="Q292" s="190">
        <f t="shared" si="47"/>
        <v>0</v>
      </c>
      <c r="R292" s="188">
        <f t="shared" si="51"/>
        <v>0</v>
      </c>
      <c r="S292" s="213">
        <v>0</v>
      </c>
      <c r="T292" s="191">
        <f t="shared" si="52"/>
        <v>0</v>
      </c>
      <c r="U292" s="187">
        <f t="shared" si="48"/>
        <v>0</v>
      </c>
      <c r="V292" s="203">
        <f t="shared" si="53"/>
        <v>0</v>
      </c>
      <c r="W292" s="56">
        <f t="shared" si="49"/>
        <v>0</v>
      </c>
      <c r="X292" s="207">
        <v>0</v>
      </c>
      <c r="Y292" s="189">
        <v>0</v>
      </c>
      <c r="Z292" s="189">
        <f t="shared" si="54"/>
        <v>0</v>
      </c>
    </row>
    <row r="293" spans="1:26" x14ac:dyDescent="0.35">
      <c r="A293" s="176">
        <v>325</v>
      </c>
      <c r="B293" s="177"/>
      <c r="C293" s="178"/>
      <c r="D293" s="178"/>
      <c r="E293" s="178"/>
      <c r="F293" s="179"/>
      <c r="G293" s="179"/>
      <c r="H293" s="206"/>
      <c r="I293" s="179"/>
      <c r="J293" s="179"/>
      <c r="K293" s="179"/>
      <c r="L293" s="202">
        <v>0</v>
      </c>
      <c r="M293" s="200">
        <v>0</v>
      </c>
      <c r="N293" s="24">
        <f t="shared" si="50"/>
        <v>0</v>
      </c>
      <c r="O293" s="196">
        <f>IFERROR(IF(($N$4-VLOOKUP(REGISTRO_MAESTRO_m3!X293,DISTRIBUCION_CONTENEDORES!$A$3:$D$530,2) ) &lt; 0,0,($N$4-VLOOKUP(X293,DISTRIBUCION_CONTENEDORES!$A$3:$D$530,2) ) * (M293/VLOOKUP(X293,DISTRIBUCION_CONTENEDORES!$A$3:$D$530,2))),0) *$N$5</f>
        <v>0</v>
      </c>
      <c r="P293" s="194">
        <f t="shared" si="46"/>
        <v>0</v>
      </c>
      <c r="Q293" s="190">
        <f t="shared" si="47"/>
        <v>0</v>
      </c>
      <c r="R293" s="188">
        <f t="shared" si="51"/>
        <v>0</v>
      </c>
      <c r="S293" s="213">
        <v>0</v>
      </c>
      <c r="T293" s="191">
        <f t="shared" si="52"/>
        <v>0</v>
      </c>
      <c r="U293" s="187">
        <f t="shared" si="48"/>
        <v>0</v>
      </c>
      <c r="V293" s="203">
        <f t="shared" si="53"/>
        <v>0</v>
      </c>
      <c r="W293" s="56">
        <f t="shared" si="49"/>
        <v>0</v>
      </c>
      <c r="X293" s="207">
        <v>0</v>
      </c>
      <c r="Y293" s="189">
        <v>0</v>
      </c>
      <c r="Z293" s="189">
        <f t="shared" si="54"/>
        <v>0</v>
      </c>
    </row>
    <row r="294" spans="1:26" x14ac:dyDescent="0.35">
      <c r="A294" s="176">
        <v>326</v>
      </c>
      <c r="B294" s="177"/>
      <c r="C294" s="178"/>
      <c r="D294" s="178"/>
      <c r="E294" s="178"/>
      <c r="F294" s="179"/>
      <c r="G294" s="179"/>
      <c r="H294" s="206"/>
      <c r="I294" s="179"/>
      <c r="J294" s="179"/>
      <c r="K294" s="179"/>
      <c r="L294" s="202">
        <v>0</v>
      </c>
      <c r="M294" s="200">
        <v>0</v>
      </c>
      <c r="N294" s="24">
        <f t="shared" si="50"/>
        <v>0</v>
      </c>
      <c r="O294" s="196">
        <f>IFERROR(IF(($N$4-VLOOKUP(REGISTRO_MAESTRO_m3!X294,DISTRIBUCION_CONTENEDORES!$A$3:$D$530,2) ) &lt; 0,0,($N$4-VLOOKUP(X294,DISTRIBUCION_CONTENEDORES!$A$3:$D$530,2) ) * (M294/VLOOKUP(X294,DISTRIBUCION_CONTENEDORES!$A$3:$D$530,2))),0) *$N$5</f>
        <v>0</v>
      </c>
      <c r="P294" s="194">
        <f t="shared" si="46"/>
        <v>0</v>
      </c>
      <c r="Q294" s="190">
        <f t="shared" si="47"/>
        <v>0</v>
      </c>
      <c r="R294" s="188">
        <f t="shared" si="51"/>
        <v>0</v>
      </c>
      <c r="S294" s="213">
        <v>0</v>
      </c>
      <c r="T294" s="191">
        <f t="shared" si="52"/>
        <v>0</v>
      </c>
      <c r="U294" s="187">
        <f t="shared" si="48"/>
        <v>0</v>
      </c>
      <c r="V294" s="203">
        <f t="shared" si="53"/>
        <v>0</v>
      </c>
      <c r="W294" s="56">
        <f t="shared" si="49"/>
        <v>0</v>
      </c>
      <c r="X294" s="207">
        <v>0</v>
      </c>
      <c r="Y294" s="189">
        <v>0</v>
      </c>
      <c r="Z294" s="189">
        <f t="shared" si="54"/>
        <v>0</v>
      </c>
    </row>
    <row r="295" spans="1:26" x14ac:dyDescent="0.35">
      <c r="A295" s="176">
        <v>327</v>
      </c>
      <c r="B295" s="177"/>
      <c r="C295" s="178"/>
      <c r="D295" s="178"/>
      <c r="E295" s="178"/>
      <c r="F295" s="179"/>
      <c r="G295" s="179"/>
      <c r="H295" s="206"/>
      <c r="I295" s="179"/>
      <c r="J295" s="179"/>
      <c r="K295" s="179"/>
      <c r="L295" s="202">
        <v>0</v>
      </c>
      <c r="M295" s="200">
        <v>0</v>
      </c>
      <c r="N295" s="24">
        <f t="shared" si="50"/>
        <v>0</v>
      </c>
      <c r="O295" s="196">
        <f>IFERROR(IF(($N$4-VLOOKUP(REGISTRO_MAESTRO_m3!X295,DISTRIBUCION_CONTENEDORES!$A$3:$D$530,2) ) &lt; 0,0,($N$4-VLOOKUP(X295,DISTRIBUCION_CONTENEDORES!$A$3:$D$530,2) ) * (M295/VLOOKUP(X295,DISTRIBUCION_CONTENEDORES!$A$3:$D$530,2))),0) *$N$5</f>
        <v>0</v>
      </c>
      <c r="P295" s="194">
        <f t="shared" si="46"/>
        <v>0</v>
      </c>
      <c r="Q295" s="190">
        <f t="shared" si="47"/>
        <v>0</v>
      </c>
      <c r="R295" s="188">
        <f t="shared" si="51"/>
        <v>0</v>
      </c>
      <c r="S295" s="213">
        <v>0</v>
      </c>
      <c r="T295" s="191">
        <f t="shared" si="52"/>
        <v>0</v>
      </c>
      <c r="U295" s="187">
        <f t="shared" si="48"/>
        <v>0</v>
      </c>
      <c r="V295" s="203">
        <f t="shared" si="53"/>
        <v>0</v>
      </c>
      <c r="W295" s="56">
        <f t="shared" si="49"/>
        <v>0</v>
      </c>
      <c r="X295" s="207">
        <v>0</v>
      </c>
      <c r="Y295" s="189">
        <v>0</v>
      </c>
      <c r="Z295" s="189">
        <f t="shared" si="54"/>
        <v>0</v>
      </c>
    </row>
    <row r="296" spans="1:26" x14ac:dyDescent="0.35">
      <c r="A296" s="176">
        <v>328</v>
      </c>
      <c r="B296" s="177"/>
      <c r="C296" s="178"/>
      <c r="D296" s="178"/>
      <c r="E296" s="178"/>
      <c r="F296" s="179"/>
      <c r="G296" s="179"/>
      <c r="H296" s="206"/>
      <c r="I296" s="179"/>
      <c r="J296" s="179"/>
      <c r="K296" s="179"/>
      <c r="L296" s="202">
        <v>0</v>
      </c>
      <c r="M296" s="200">
        <v>0</v>
      </c>
      <c r="N296" s="24">
        <f t="shared" si="50"/>
        <v>0</v>
      </c>
      <c r="O296" s="196">
        <f>IFERROR(IF(($N$4-VLOOKUP(REGISTRO_MAESTRO_m3!X296,DISTRIBUCION_CONTENEDORES!$A$3:$D$530,2) ) &lt; 0,0,($N$4-VLOOKUP(X296,DISTRIBUCION_CONTENEDORES!$A$3:$D$530,2) ) * (M296/VLOOKUP(X296,DISTRIBUCION_CONTENEDORES!$A$3:$D$530,2))),0) *$N$5</f>
        <v>0</v>
      </c>
      <c r="P296" s="194">
        <f t="shared" si="46"/>
        <v>0</v>
      </c>
      <c r="Q296" s="190">
        <f t="shared" si="47"/>
        <v>0</v>
      </c>
      <c r="R296" s="188">
        <f t="shared" si="51"/>
        <v>0</v>
      </c>
      <c r="S296" s="213">
        <v>0</v>
      </c>
      <c r="T296" s="191">
        <f t="shared" si="52"/>
        <v>0</v>
      </c>
      <c r="U296" s="187">
        <f t="shared" si="48"/>
        <v>0</v>
      </c>
      <c r="V296" s="203">
        <f t="shared" si="53"/>
        <v>0</v>
      </c>
      <c r="W296" s="56">
        <f t="shared" si="49"/>
        <v>0</v>
      </c>
      <c r="X296" s="207">
        <v>0</v>
      </c>
      <c r="Y296" s="189">
        <v>0</v>
      </c>
      <c r="Z296" s="189">
        <f t="shared" si="54"/>
        <v>0</v>
      </c>
    </row>
    <row r="297" spans="1:26" x14ac:dyDescent="0.35">
      <c r="A297" s="176">
        <v>329</v>
      </c>
      <c r="B297" s="177"/>
      <c r="C297" s="178"/>
      <c r="D297" s="178"/>
      <c r="E297" s="178"/>
      <c r="F297" s="179"/>
      <c r="G297" s="179"/>
      <c r="H297" s="206"/>
      <c r="I297" s="179"/>
      <c r="J297" s="179"/>
      <c r="K297" s="179"/>
      <c r="L297" s="202">
        <v>0</v>
      </c>
      <c r="M297" s="200">
        <v>0</v>
      </c>
      <c r="N297" s="24">
        <f t="shared" si="50"/>
        <v>0</v>
      </c>
      <c r="O297" s="196">
        <f>IFERROR(IF(($N$4-VLOOKUP(REGISTRO_MAESTRO_m3!X297,DISTRIBUCION_CONTENEDORES!$A$3:$D$530,2) ) &lt; 0,0,($N$4-VLOOKUP(X297,DISTRIBUCION_CONTENEDORES!$A$3:$D$530,2) ) * (M297/VLOOKUP(X297,DISTRIBUCION_CONTENEDORES!$A$3:$D$530,2))),0) *$N$5</f>
        <v>0</v>
      </c>
      <c r="P297" s="194">
        <f t="shared" si="46"/>
        <v>0</v>
      </c>
      <c r="Q297" s="190">
        <f t="shared" si="47"/>
        <v>0</v>
      </c>
      <c r="R297" s="188">
        <f t="shared" si="51"/>
        <v>0</v>
      </c>
      <c r="S297" s="213">
        <v>0</v>
      </c>
      <c r="T297" s="191">
        <f t="shared" si="52"/>
        <v>0</v>
      </c>
      <c r="U297" s="187">
        <f t="shared" si="48"/>
        <v>0</v>
      </c>
      <c r="V297" s="203">
        <f t="shared" si="53"/>
        <v>0</v>
      </c>
      <c r="W297" s="56">
        <f t="shared" si="49"/>
        <v>0</v>
      </c>
      <c r="X297" s="207">
        <v>0</v>
      </c>
      <c r="Y297" s="189">
        <v>0</v>
      </c>
      <c r="Z297" s="189">
        <f t="shared" si="54"/>
        <v>0</v>
      </c>
    </row>
    <row r="298" spans="1:26" x14ac:dyDescent="0.35">
      <c r="A298" s="176">
        <v>330</v>
      </c>
      <c r="B298" s="177"/>
      <c r="C298" s="178"/>
      <c r="D298" s="178"/>
      <c r="E298" s="178"/>
      <c r="F298" s="179"/>
      <c r="G298" s="179"/>
      <c r="H298" s="206"/>
      <c r="I298" s="179"/>
      <c r="J298" s="179"/>
      <c r="K298" s="179"/>
      <c r="L298" s="202">
        <v>0</v>
      </c>
      <c r="M298" s="200">
        <v>0</v>
      </c>
      <c r="N298" s="24">
        <f t="shared" si="50"/>
        <v>0</v>
      </c>
      <c r="O298" s="196">
        <f>IFERROR(IF(($N$4-VLOOKUP(REGISTRO_MAESTRO_m3!X298,DISTRIBUCION_CONTENEDORES!$A$3:$D$530,2) ) &lt; 0,0,($N$4-VLOOKUP(X298,DISTRIBUCION_CONTENEDORES!$A$3:$D$530,2) ) * (M298/VLOOKUP(X298,DISTRIBUCION_CONTENEDORES!$A$3:$D$530,2))),0) *$N$5</f>
        <v>0</v>
      </c>
      <c r="P298" s="194">
        <f t="shared" si="46"/>
        <v>0</v>
      </c>
      <c r="Q298" s="190">
        <f t="shared" si="47"/>
        <v>0</v>
      </c>
      <c r="R298" s="188">
        <f t="shared" si="51"/>
        <v>0</v>
      </c>
      <c r="S298" s="213">
        <v>0</v>
      </c>
      <c r="T298" s="191">
        <f t="shared" si="52"/>
        <v>0</v>
      </c>
      <c r="U298" s="187">
        <f t="shared" si="48"/>
        <v>0</v>
      </c>
      <c r="V298" s="203">
        <f t="shared" si="53"/>
        <v>0</v>
      </c>
      <c r="W298" s="56">
        <f t="shared" si="49"/>
        <v>0</v>
      </c>
      <c r="X298" s="207">
        <v>0</v>
      </c>
      <c r="Y298" s="189">
        <v>0</v>
      </c>
      <c r="Z298" s="189">
        <f t="shared" si="54"/>
        <v>0</v>
      </c>
    </row>
    <row r="299" spans="1:26" x14ac:dyDescent="0.35">
      <c r="A299" s="176">
        <v>331</v>
      </c>
      <c r="B299" s="177"/>
      <c r="C299" s="178"/>
      <c r="D299" s="178"/>
      <c r="E299" s="178"/>
      <c r="F299" s="179"/>
      <c r="G299" s="179"/>
      <c r="H299" s="206"/>
      <c r="I299" s="179"/>
      <c r="J299" s="179"/>
      <c r="K299" s="179"/>
      <c r="L299" s="202">
        <v>0</v>
      </c>
      <c r="M299" s="200">
        <v>0</v>
      </c>
      <c r="N299" s="24">
        <f t="shared" si="50"/>
        <v>0</v>
      </c>
      <c r="O299" s="196">
        <f>IFERROR(IF(($N$4-VLOOKUP(REGISTRO_MAESTRO_m3!X299,DISTRIBUCION_CONTENEDORES!$A$3:$D$530,2) ) &lt; 0,0,($N$4-VLOOKUP(X299,DISTRIBUCION_CONTENEDORES!$A$3:$D$530,2) ) * (M299/VLOOKUP(X299,DISTRIBUCION_CONTENEDORES!$A$3:$D$530,2))),0) *$N$5</f>
        <v>0</v>
      </c>
      <c r="P299" s="194">
        <f t="shared" si="46"/>
        <v>0</v>
      </c>
      <c r="Q299" s="190">
        <f t="shared" si="47"/>
        <v>0</v>
      </c>
      <c r="R299" s="188">
        <f t="shared" si="51"/>
        <v>0</v>
      </c>
      <c r="S299" s="213">
        <v>0</v>
      </c>
      <c r="T299" s="191">
        <f t="shared" si="52"/>
        <v>0</v>
      </c>
      <c r="U299" s="187">
        <f t="shared" si="48"/>
        <v>0</v>
      </c>
      <c r="V299" s="203">
        <f t="shared" si="53"/>
        <v>0</v>
      </c>
      <c r="W299" s="56">
        <f t="shared" si="49"/>
        <v>0</v>
      </c>
      <c r="X299" s="207">
        <v>0</v>
      </c>
      <c r="Y299" s="189">
        <v>0</v>
      </c>
      <c r="Z299" s="189">
        <f t="shared" si="54"/>
        <v>0</v>
      </c>
    </row>
    <row r="300" spans="1:26" x14ac:dyDescent="0.35">
      <c r="A300" s="176">
        <v>332</v>
      </c>
      <c r="B300" s="177"/>
      <c r="C300" s="178"/>
      <c r="D300" s="178"/>
      <c r="E300" s="178"/>
      <c r="F300" s="179"/>
      <c r="G300" s="179"/>
      <c r="H300" s="206"/>
      <c r="I300" s="179"/>
      <c r="J300" s="179"/>
      <c r="K300" s="179"/>
      <c r="L300" s="202">
        <v>0</v>
      </c>
      <c r="M300" s="200">
        <v>0</v>
      </c>
      <c r="N300" s="24">
        <f t="shared" si="50"/>
        <v>0</v>
      </c>
      <c r="O300" s="196">
        <f>IFERROR(IF(($N$4-VLOOKUP(REGISTRO_MAESTRO_m3!X300,DISTRIBUCION_CONTENEDORES!$A$3:$D$530,2) ) &lt; 0,0,($N$4-VLOOKUP(X300,DISTRIBUCION_CONTENEDORES!$A$3:$D$530,2) ) * (M300/VLOOKUP(X300,DISTRIBUCION_CONTENEDORES!$A$3:$D$530,2))),0) *$N$5</f>
        <v>0</v>
      </c>
      <c r="P300" s="194">
        <f t="shared" si="46"/>
        <v>0</v>
      </c>
      <c r="Q300" s="190">
        <f t="shared" si="47"/>
        <v>0</v>
      </c>
      <c r="R300" s="188">
        <f t="shared" si="51"/>
        <v>0</v>
      </c>
      <c r="S300" s="213">
        <v>0</v>
      </c>
      <c r="T300" s="191">
        <f t="shared" si="52"/>
        <v>0</v>
      </c>
      <c r="U300" s="187">
        <f t="shared" si="48"/>
        <v>0</v>
      </c>
      <c r="V300" s="203">
        <f t="shared" si="53"/>
        <v>0</v>
      </c>
      <c r="W300" s="56">
        <f t="shared" si="49"/>
        <v>0</v>
      </c>
      <c r="X300" s="207">
        <v>0</v>
      </c>
      <c r="Y300" s="189">
        <v>0</v>
      </c>
      <c r="Z300" s="189">
        <f t="shared" si="54"/>
        <v>0</v>
      </c>
    </row>
    <row r="301" spans="1:26" x14ac:dyDescent="0.35">
      <c r="A301" s="176">
        <v>333</v>
      </c>
      <c r="B301" s="177"/>
      <c r="C301" s="178"/>
      <c r="D301" s="178"/>
      <c r="E301" s="178"/>
      <c r="F301" s="179"/>
      <c r="G301" s="179"/>
      <c r="H301" s="206"/>
      <c r="I301" s="179"/>
      <c r="J301" s="179"/>
      <c r="K301" s="179"/>
      <c r="L301" s="202">
        <v>0</v>
      </c>
      <c r="M301" s="200">
        <v>0</v>
      </c>
      <c r="N301" s="24">
        <f t="shared" si="50"/>
        <v>0</v>
      </c>
      <c r="O301" s="196">
        <f>IFERROR(IF(($N$4-VLOOKUP(REGISTRO_MAESTRO_m3!X301,DISTRIBUCION_CONTENEDORES!$A$3:$D$530,2) ) &lt; 0,0,($N$4-VLOOKUP(X301,DISTRIBUCION_CONTENEDORES!$A$3:$D$530,2) ) * (M301/VLOOKUP(X301,DISTRIBUCION_CONTENEDORES!$A$3:$D$530,2))),0) *$N$5</f>
        <v>0</v>
      </c>
      <c r="P301" s="194">
        <f t="shared" si="46"/>
        <v>0</v>
      </c>
      <c r="Q301" s="190">
        <f t="shared" si="47"/>
        <v>0</v>
      </c>
      <c r="R301" s="188">
        <f t="shared" si="51"/>
        <v>0</v>
      </c>
      <c r="S301" s="213">
        <v>0</v>
      </c>
      <c r="T301" s="191">
        <f t="shared" si="52"/>
        <v>0</v>
      </c>
      <c r="U301" s="187">
        <f t="shared" si="48"/>
        <v>0</v>
      </c>
      <c r="V301" s="203">
        <f t="shared" si="53"/>
        <v>0</v>
      </c>
      <c r="W301" s="56">
        <f t="shared" si="49"/>
        <v>0</v>
      </c>
      <c r="X301" s="207">
        <v>0</v>
      </c>
      <c r="Y301" s="189">
        <v>0</v>
      </c>
      <c r="Z301" s="189">
        <f t="shared" si="54"/>
        <v>0</v>
      </c>
    </row>
    <row r="302" spans="1:26" x14ac:dyDescent="0.35">
      <c r="A302" s="176">
        <v>334</v>
      </c>
      <c r="B302" s="177"/>
      <c r="C302" s="178"/>
      <c r="D302" s="178"/>
      <c r="E302" s="178"/>
      <c r="F302" s="179"/>
      <c r="G302" s="179"/>
      <c r="H302" s="206"/>
      <c r="I302" s="179"/>
      <c r="J302" s="179"/>
      <c r="K302" s="179"/>
      <c r="L302" s="202">
        <v>0</v>
      </c>
      <c r="M302" s="200">
        <v>0</v>
      </c>
      <c r="N302" s="24">
        <f t="shared" si="50"/>
        <v>0</v>
      </c>
      <c r="O302" s="196">
        <f>IFERROR(IF(($N$4-VLOOKUP(REGISTRO_MAESTRO_m3!X302,DISTRIBUCION_CONTENEDORES!$A$3:$D$530,2) ) &lt; 0,0,($N$4-VLOOKUP(X302,DISTRIBUCION_CONTENEDORES!$A$3:$D$530,2) ) * (M302/VLOOKUP(X302,DISTRIBUCION_CONTENEDORES!$A$3:$D$530,2))),0) *$N$5</f>
        <v>0</v>
      </c>
      <c r="P302" s="194">
        <f t="shared" si="46"/>
        <v>0</v>
      </c>
      <c r="Q302" s="190">
        <f t="shared" si="47"/>
        <v>0</v>
      </c>
      <c r="R302" s="188">
        <f t="shared" si="51"/>
        <v>0</v>
      </c>
      <c r="S302" s="213">
        <v>0</v>
      </c>
      <c r="T302" s="191">
        <f t="shared" si="52"/>
        <v>0</v>
      </c>
      <c r="U302" s="187">
        <f t="shared" si="48"/>
        <v>0</v>
      </c>
      <c r="V302" s="203">
        <f t="shared" si="53"/>
        <v>0</v>
      </c>
      <c r="W302" s="56">
        <f t="shared" si="49"/>
        <v>0</v>
      </c>
      <c r="X302" s="207">
        <v>0</v>
      </c>
      <c r="Y302" s="189">
        <v>0</v>
      </c>
      <c r="Z302" s="189">
        <f t="shared" si="54"/>
        <v>0</v>
      </c>
    </row>
    <row r="303" spans="1:26" x14ac:dyDescent="0.35">
      <c r="A303" s="176">
        <v>335</v>
      </c>
      <c r="B303" s="177"/>
      <c r="C303" s="178"/>
      <c r="D303" s="178"/>
      <c r="E303" s="178"/>
      <c r="F303" s="179"/>
      <c r="G303" s="179"/>
      <c r="H303" s="206"/>
      <c r="I303" s="179"/>
      <c r="J303" s="179"/>
      <c r="K303" s="179"/>
      <c r="L303" s="202">
        <v>0</v>
      </c>
      <c r="M303" s="200">
        <v>0</v>
      </c>
      <c r="N303" s="24">
        <f t="shared" si="50"/>
        <v>0</v>
      </c>
      <c r="O303" s="196">
        <f>IFERROR(IF(($N$4-VLOOKUP(REGISTRO_MAESTRO_m3!X303,DISTRIBUCION_CONTENEDORES!$A$3:$D$530,2) ) &lt; 0,0,($N$4-VLOOKUP(X303,DISTRIBUCION_CONTENEDORES!$A$3:$D$530,2) ) * (M303/VLOOKUP(X303,DISTRIBUCION_CONTENEDORES!$A$3:$D$530,2))),0) *$N$5</f>
        <v>0</v>
      </c>
      <c r="P303" s="194">
        <f t="shared" ref="P303:P366" si="55">N303+O303</f>
        <v>0</v>
      </c>
      <c r="Q303" s="190">
        <f t="shared" ref="Q303:Q366" si="56">P303-L303</f>
        <v>0</v>
      </c>
      <c r="R303" s="188">
        <f t="shared" si="51"/>
        <v>0</v>
      </c>
      <c r="S303" s="213">
        <v>0</v>
      </c>
      <c r="T303" s="191">
        <f t="shared" si="52"/>
        <v>0</v>
      </c>
      <c r="U303" s="187">
        <f t="shared" ref="U303:U366" si="57">IF(Q303&lt; 0, 0, Q303-S303)</f>
        <v>0</v>
      </c>
      <c r="V303" s="203">
        <f t="shared" si="53"/>
        <v>0</v>
      </c>
      <c r="W303" s="56">
        <f t="shared" ref="W303:W366" si="58">M303*$N$8</f>
        <v>0</v>
      </c>
      <c r="X303" s="207">
        <v>0</v>
      </c>
      <c r="Y303" s="189">
        <v>0</v>
      </c>
      <c r="Z303" s="189">
        <f t="shared" si="54"/>
        <v>0</v>
      </c>
    </row>
    <row r="304" spans="1:26" x14ac:dyDescent="0.35">
      <c r="A304" s="176">
        <v>336</v>
      </c>
      <c r="B304" s="177"/>
      <c r="C304" s="178"/>
      <c r="D304" s="178"/>
      <c r="E304" s="178"/>
      <c r="F304" s="179"/>
      <c r="G304" s="179"/>
      <c r="H304" s="206"/>
      <c r="I304" s="179"/>
      <c r="J304" s="179"/>
      <c r="K304" s="179"/>
      <c r="L304" s="202">
        <v>0</v>
      </c>
      <c r="M304" s="200">
        <v>0</v>
      </c>
      <c r="N304" s="24">
        <f t="shared" si="50"/>
        <v>0</v>
      </c>
      <c r="O304" s="196">
        <f>IFERROR(IF(($N$4-VLOOKUP(REGISTRO_MAESTRO_m3!X304,DISTRIBUCION_CONTENEDORES!$A$3:$D$530,2) ) &lt; 0,0,($N$4-VLOOKUP(X304,DISTRIBUCION_CONTENEDORES!$A$3:$D$530,2) ) * (M304/VLOOKUP(X304,DISTRIBUCION_CONTENEDORES!$A$3:$D$530,2))),0) *$N$5</f>
        <v>0</v>
      </c>
      <c r="P304" s="194">
        <f t="shared" si="55"/>
        <v>0</v>
      </c>
      <c r="Q304" s="190">
        <f t="shared" si="56"/>
        <v>0</v>
      </c>
      <c r="R304" s="188">
        <f t="shared" si="51"/>
        <v>0</v>
      </c>
      <c r="S304" s="213">
        <v>0</v>
      </c>
      <c r="T304" s="191">
        <f t="shared" si="52"/>
        <v>0</v>
      </c>
      <c r="U304" s="187">
        <f t="shared" si="57"/>
        <v>0</v>
      </c>
      <c r="V304" s="203">
        <f t="shared" si="53"/>
        <v>0</v>
      </c>
      <c r="W304" s="56">
        <f t="shared" si="58"/>
        <v>0</v>
      </c>
      <c r="X304" s="207">
        <v>0</v>
      </c>
      <c r="Y304" s="189">
        <v>0</v>
      </c>
      <c r="Z304" s="189">
        <f t="shared" si="54"/>
        <v>0</v>
      </c>
    </row>
    <row r="305" spans="1:26" x14ac:dyDescent="0.35">
      <c r="A305" s="176">
        <v>337</v>
      </c>
      <c r="B305" s="177"/>
      <c r="C305" s="178"/>
      <c r="D305" s="178"/>
      <c r="E305" s="178"/>
      <c r="F305" s="179"/>
      <c r="G305" s="179"/>
      <c r="H305" s="206"/>
      <c r="I305" s="179"/>
      <c r="J305" s="179"/>
      <c r="K305" s="179"/>
      <c r="L305" s="202">
        <v>0</v>
      </c>
      <c r="M305" s="200">
        <v>0</v>
      </c>
      <c r="N305" s="24">
        <f t="shared" si="50"/>
        <v>0</v>
      </c>
      <c r="O305" s="196">
        <f>IFERROR(IF(($N$4-VLOOKUP(REGISTRO_MAESTRO_m3!X305,DISTRIBUCION_CONTENEDORES!$A$3:$D$530,2) ) &lt; 0,0,($N$4-VLOOKUP(X305,DISTRIBUCION_CONTENEDORES!$A$3:$D$530,2) ) * (M305/VLOOKUP(X305,DISTRIBUCION_CONTENEDORES!$A$3:$D$530,2))),0) *$N$5</f>
        <v>0</v>
      </c>
      <c r="P305" s="194">
        <f t="shared" si="55"/>
        <v>0</v>
      </c>
      <c r="Q305" s="190">
        <f t="shared" si="56"/>
        <v>0</v>
      </c>
      <c r="R305" s="188">
        <f t="shared" si="51"/>
        <v>0</v>
      </c>
      <c r="S305" s="213">
        <v>0</v>
      </c>
      <c r="T305" s="191">
        <f t="shared" si="52"/>
        <v>0</v>
      </c>
      <c r="U305" s="187">
        <f t="shared" si="57"/>
        <v>0</v>
      </c>
      <c r="V305" s="203">
        <f t="shared" si="53"/>
        <v>0</v>
      </c>
      <c r="W305" s="56">
        <f t="shared" si="58"/>
        <v>0</v>
      </c>
      <c r="X305" s="207">
        <v>0</v>
      </c>
      <c r="Y305" s="189">
        <v>0</v>
      </c>
      <c r="Z305" s="189">
        <f t="shared" si="54"/>
        <v>0</v>
      </c>
    </row>
    <row r="306" spans="1:26" x14ac:dyDescent="0.35">
      <c r="A306" s="176">
        <v>338</v>
      </c>
      <c r="B306" s="177"/>
      <c r="C306" s="178"/>
      <c r="D306" s="178"/>
      <c r="E306" s="178"/>
      <c r="F306" s="179"/>
      <c r="G306" s="179"/>
      <c r="H306" s="206"/>
      <c r="I306" s="179"/>
      <c r="J306" s="179"/>
      <c r="K306" s="179"/>
      <c r="L306" s="202">
        <v>0</v>
      </c>
      <c r="M306" s="200">
        <v>0</v>
      </c>
      <c r="N306" s="24">
        <f t="shared" si="50"/>
        <v>0</v>
      </c>
      <c r="O306" s="196">
        <f>IFERROR(IF(($N$4-VLOOKUP(REGISTRO_MAESTRO_m3!X306,DISTRIBUCION_CONTENEDORES!$A$3:$D$530,2) ) &lt; 0,0,($N$4-VLOOKUP(X306,DISTRIBUCION_CONTENEDORES!$A$3:$D$530,2) ) * (M306/VLOOKUP(X306,DISTRIBUCION_CONTENEDORES!$A$3:$D$530,2))),0) *$N$5</f>
        <v>0</v>
      </c>
      <c r="P306" s="194">
        <f t="shared" si="55"/>
        <v>0</v>
      </c>
      <c r="Q306" s="190">
        <f t="shared" si="56"/>
        <v>0</v>
      </c>
      <c r="R306" s="188">
        <f t="shared" si="51"/>
        <v>0</v>
      </c>
      <c r="S306" s="213">
        <v>0</v>
      </c>
      <c r="T306" s="191">
        <f t="shared" si="52"/>
        <v>0</v>
      </c>
      <c r="U306" s="187">
        <f t="shared" si="57"/>
        <v>0</v>
      </c>
      <c r="V306" s="203">
        <f t="shared" si="53"/>
        <v>0</v>
      </c>
      <c r="W306" s="56">
        <f t="shared" si="58"/>
        <v>0</v>
      </c>
      <c r="X306" s="207">
        <v>0</v>
      </c>
      <c r="Y306" s="189">
        <v>0</v>
      </c>
      <c r="Z306" s="189">
        <f t="shared" si="54"/>
        <v>0</v>
      </c>
    </row>
    <row r="307" spans="1:26" x14ac:dyDescent="0.35">
      <c r="A307" s="176">
        <v>339</v>
      </c>
      <c r="B307" s="177"/>
      <c r="C307" s="178"/>
      <c r="D307" s="178"/>
      <c r="E307" s="178"/>
      <c r="F307" s="179"/>
      <c r="G307" s="179"/>
      <c r="H307" s="206"/>
      <c r="I307" s="179"/>
      <c r="J307" s="179"/>
      <c r="K307" s="179"/>
      <c r="L307" s="202">
        <v>0</v>
      </c>
      <c r="M307" s="200">
        <v>0</v>
      </c>
      <c r="N307" s="24">
        <f t="shared" si="50"/>
        <v>0</v>
      </c>
      <c r="O307" s="196">
        <f>IFERROR(IF(($N$4-VLOOKUP(REGISTRO_MAESTRO_m3!X307,DISTRIBUCION_CONTENEDORES!$A$3:$D$530,2) ) &lt; 0,0,($N$4-VLOOKUP(X307,DISTRIBUCION_CONTENEDORES!$A$3:$D$530,2) ) * (M307/VLOOKUP(X307,DISTRIBUCION_CONTENEDORES!$A$3:$D$530,2))),0) *$N$5</f>
        <v>0</v>
      </c>
      <c r="P307" s="194">
        <f t="shared" si="55"/>
        <v>0</v>
      </c>
      <c r="Q307" s="190">
        <f t="shared" si="56"/>
        <v>0</v>
      </c>
      <c r="R307" s="188">
        <f t="shared" si="51"/>
        <v>0</v>
      </c>
      <c r="S307" s="213">
        <v>0</v>
      </c>
      <c r="T307" s="191">
        <f t="shared" si="52"/>
        <v>0</v>
      </c>
      <c r="U307" s="187">
        <f t="shared" si="57"/>
        <v>0</v>
      </c>
      <c r="V307" s="203">
        <f t="shared" si="53"/>
        <v>0</v>
      </c>
      <c r="W307" s="56">
        <f t="shared" si="58"/>
        <v>0</v>
      </c>
      <c r="X307" s="207">
        <v>0</v>
      </c>
      <c r="Y307" s="189">
        <v>0</v>
      </c>
      <c r="Z307" s="189">
        <f t="shared" si="54"/>
        <v>0</v>
      </c>
    </row>
    <row r="308" spans="1:26" x14ac:dyDescent="0.35">
      <c r="A308" s="176">
        <v>340</v>
      </c>
      <c r="B308" s="177"/>
      <c r="C308" s="178"/>
      <c r="D308" s="178"/>
      <c r="E308" s="178"/>
      <c r="F308" s="179"/>
      <c r="G308" s="179"/>
      <c r="H308" s="206"/>
      <c r="I308" s="179"/>
      <c r="J308" s="179"/>
      <c r="K308" s="179"/>
      <c r="L308" s="202">
        <v>0</v>
      </c>
      <c r="M308" s="200">
        <v>0</v>
      </c>
      <c r="N308" s="24">
        <f t="shared" si="50"/>
        <v>0</v>
      </c>
      <c r="O308" s="196">
        <f>IFERROR(IF(($N$4-VLOOKUP(REGISTRO_MAESTRO_m3!X308,DISTRIBUCION_CONTENEDORES!$A$3:$D$530,2) ) &lt; 0,0,($N$4-VLOOKUP(X308,DISTRIBUCION_CONTENEDORES!$A$3:$D$530,2) ) * (M308/VLOOKUP(X308,DISTRIBUCION_CONTENEDORES!$A$3:$D$530,2))),0) *$N$5</f>
        <v>0</v>
      </c>
      <c r="P308" s="194">
        <f t="shared" si="55"/>
        <v>0</v>
      </c>
      <c r="Q308" s="190">
        <f t="shared" si="56"/>
        <v>0</v>
      </c>
      <c r="R308" s="188">
        <f t="shared" si="51"/>
        <v>0</v>
      </c>
      <c r="S308" s="213">
        <v>0</v>
      </c>
      <c r="T308" s="191">
        <f t="shared" si="52"/>
        <v>0</v>
      </c>
      <c r="U308" s="187">
        <f t="shared" si="57"/>
        <v>0</v>
      </c>
      <c r="V308" s="203">
        <f t="shared" si="53"/>
        <v>0</v>
      </c>
      <c r="W308" s="56">
        <f t="shared" si="58"/>
        <v>0</v>
      </c>
      <c r="X308" s="207">
        <v>0</v>
      </c>
      <c r="Y308" s="189">
        <v>0</v>
      </c>
      <c r="Z308" s="189">
        <f t="shared" si="54"/>
        <v>0</v>
      </c>
    </row>
    <row r="309" spans="1:26" x14ac:dyDescent="0.35">
      <c r="A309" s="176">
        <v>341</v>
      </c>
      <c r="B309" s="177"/>
      <c r="C309" s="178"/>
      <c r="D309" s="178"/>
      <c r="E309" s="178"/>
      <c r="F309" s="179"/>
      <c r="G309" s="179"/>
      <c r="H309" s="206"/>
      <c r="I309" s="179"/>
      <c r="J309" s="179"/>
      <c r="K309" s="179"/>
      <c r="L309" s="202">
        <v>0</v>
      </c>
      <c r="M309" s="200">
        <v>0</v>
      </c>
      <c r="N309" s="24">
        <f t="shared" si="50"/>
        <v>0</v>
      </c>
      <c r="O309" s="196">
        <f>IFERROR(IF(($N$4-VLOOKUP(REGISTRO_MAESTRO_m3!X309,DISTRIBUCION_CONTENEDORES!$A$3:$D$530,2) ) &lt; 0,0,($N$4-VLOOKUP(X309,DISTRIBUCION_CONTENEDORES!$A$3:$D$530,2) ) * (M309/VLOOKUP(X309,DISTRIBUCION_CONTENEDORES!$A$3:$D$530,2))),0) *$N$5</f>
        <v>0</v>
      </c>
      <c r="P309" s="194">
        <f t="shared" si="55"/>
        <v>0</v>
      </c>
      <c r="Q309" s="190">
        <f t="shared" si="56"/>
        <v>0</v>
      </c>
      <c r="R309" s="188">
        <f t="shared" si="51"/>
        <v>0</v>
      </c>
      <c r="S309" s="213">
        <v>0</v>
      </c>
      <c r="T309" s="191">
        <f t="shared" si="52"/>
        <v>0</v>
      </c>
      <c r="U309" s="187">
        <f t="shared" si="57"/>
        <v>0</v>
      </c>
      <c r="V309" s="203">
        <f t="shared" si="53"/>
        <v>0</v>
      </c>
      <c r="W309" s="56">
        <f t="shared" si="58"/>
        <v>0</v>
      </c>
      <c r="X309" s="207">
        <v>0</v>
      </c>
      <c r="Y309" s="189">
        <v>0</v>
      </c>
      <c r="Z309" s="189">
        <f t="shared" si="54"/>
        <v>0</v>
      </c>
    </row>
    <row r="310" spans="1:26" x14ac:dyDescent="0.35">
      <c r="A310" s="176">
        <v>342</v>
      </c>
      <c r="B310" s="177"/>
      <c r="C310" s="178"/>
      <c r="D310" s="178"/>
      <c r="E310" s="178"/>
      <c r="F310" s="179"/>
      <c r="G310" s="179"/>
      <c r="H310" s="206"/>
      <c r="I310" s="179"/>
      <c r="J310" s="179"/>
      <c r="K310" s="179"/>
      <c r="L310" s="202">
        <v>0</v>
      </c>
      <c r="M310" s="200">
        <v>0</v>
      </c>
      <c r="N310" s="24">
        <f t="shared" si="50"/>
        <v>0</v>
      </c>
      <c r="O310" s="196">
        <f>IFERROR(IF(($N$4-VLOOKUP(REGISTRO_MAESTRO_m3!X310,DISTRIBUCION_CONTENEDORES!$A$3:$D$530,2) ) &lt; 0,0,($N$4-VLOOKUP(X310,DISTRIBUCION_CONTENEDORES!$A$3:$D$530,2) ) * (M310/VLOOKUP(X310,DISTRIBUCION_CONTENEDORES!$A$3:$D$530,2))),0) *$N$5</f>
        <v>0</v>
      </c>
      <c r="P310" s="194">
        <f t="shared" si="55"/>
        <v>0</v>
      </c>
      <c r="Q310" s="190">
        <f t="shared" si="56"/>
        <v>0</v>
      </c>
      <c r="R310" s="188">
        <f t="shared" si="51"/>
        <v>0</v>
      </c>
      <c r="S310" s="213">
        <v>0</v>
      </c>
      <c r="T310" s="191">
        <f t="shared" si="52"/>
        <v>0</v>
      </c>
      <c r="U310" s="187">
        <f t="shared" si="57"/>
        <v>0</v>
      </c>
      <c r="V310" s="203">
        <f t="shared" si="53"/>
        <v>0</v>
      </c>
      <c r="W310" s="56">
        <f t="shared" si="58"/>
        <v>0</v>
      </c>
      <c r="X310" s="207">
        <v>0</v>
      </c>
      <c r="Y310" s="189">
        <v>0</v>
      </c>
      <c r="Z310" s="189">
        <f t="shared" si="54"/>
        <v>0</v>
      </c>
    </row>
    <row r="311" spans="1:26" x14ac:dyDescent="0.35">
      <c r="A311" s="176">
        <v>343</v>
      </c>
      <c r="B311" s="177"/>
      <c r="C311" s="178"/>
      <c r="D311" s="178"/>
      <c r="E311" s="178"/>
      <c r="F311" s="179"/>
      <c r="G311" s="179"/>
      <c r="H311" s="206"/>
      <c r="I311" s="179"/>
      <c r="J311" s="179"/>
      <c r="K311" s="179"/>
      <c r="L311" s="202">
        <v>0</v>
      </c>
      <c r="M311" s="200">
        <v>0</v>
      </c>
      <c r="N311" s="24">
        <f t="shared" si="50"/>
        <v>0</v>
      </c>
      <c r="O311" s="196">
        <f>IFERROR(IF(($N$4-VLOOKUP(REGISTRO_MAESTRO_m3!X311,DISTRIBUCION_CONTENEDORES!$A$3:$D$530,2) ) &lt; 0,0,($N$4-VLOOKUP(X311,DISTRIBUCION_CONTENEDORES!$A$3:$D$530,2) ) * (M311/VLOOKUP(X311,DISTRIBUCION_CONTENEDORES!$A$3:$D$530,2))),0) *$N$5</f>
        <v>0</v>
      </c>
      <c r="P311" s="194">
        <f t="shared" si="55"/>
        <v>0</v>
      </c>
      <c r="Q311" s="190">
        <f t="shared" si="56"/>
        <v>0</v>
      </c>
      <c r="R311" s="188">
        <f t="shared" si="51"/>
        <v>0</v>
      </c>
      <c r="S311" s="213">
        <v>0</v>
      </c>
      <c r="T311" s="191">
        <f t="shared" si="52"/>
        <v>0</v>
      </c>
      <c r="U311" s="187">
        <f t="shared" si="57"/>
        <v>0</v>
      </c>
      <c r="V311" s="203">
        <f t="shared" si="53"/>
        <v>0</v>
      </c>
      <c r="W311" s="56">
        <f t="shared" si="58"/>
        <v>0</v>
      </c>
      <c r="X311" s="207">
        <v>0</v>
      </c>
      <c r="Y311" s="189">
        <v>0</v>
      </c>
      <c r="Z311" s="189">
        <f t="shared" si="54"/>
        <v>0</v>
      </c>
    </row>
    <row r="312" spans="1:26" x14ac:dyDescent="0.35">
      <c r="A312" s="176">
        <v>344</v>
      </c>
      <c r="B312" s="177"/>
      <c r="C312" s="178"/>
      <c r="D312" s="178"/>
      <c r="E312" s="178"/>
      <c r="F312" s="179"/>
      <c r="G312" s="179"/>
      <c r="H312" s="206"/>
      <c r="I312" s="179"/>
      <c r="J312" s="179"/>
      <c r="K312" s="179"/>
      <c r="L312" s="202">
        <v>0</v>
      </c>
      <c r="M312" s="200">
        <v>0</v>
      </c>
      <c r="N312" s="24">
        <f t="shared" si="50"/>
        <v>0</v>
      </c>
      <c r="O312" s="196">
        <f>IFERROR(IF(($N$4-VLOOKUP(REGISTRO_MAESTRO_m3!X312,DISTRIBUCION_CONTENEDORES!$A$3:$D$530,2) ) &lt; 0,0,($N$4-VLOOKUP(X312,DISTRIBUCION_CONTENEDORES!$A$3:$D$530,2) ) * (M312/VLOOKUP(X312,DISTRIBUCION_CONTENEDORES!$A$3:$D$530,2))),0) *$N$5</f>
        <v>0</v>
      </c>
      <c r="P312" s="194">
        <f t="shared" si="55"/>
        <v>0</v>
      </c>
      <c r="Q312" s="190">
        <f t="shared" si="56"/>
        <v>0</v>
      </c>
      <c r="R312" s="188">
        <f t="shared" si="51"/>
        <v>0</v>
      </c>
      <c r="S312" s="213">
        <v>0</v>
      </c>
      <c r="T312" s="191">
        <f t="shared" si="52"/>
        <v>0</v>
      </c>
      <c r="U312" s="187">
        <f t="shared" si="57"/>
        <v>0</v>
      </c>
      <c r="V312" s="203">
        <f t="shared" si="53"/>
        <v>0</v>
      </c>
      <c r="W312" s="56">
        <f t="shared" si="58"/>
        <v>0</v>
      </c>
      <c r="X312" s="207">
        <v>0</v>
      </c>
      <c r="Y312" s="189">
        <v>0</v>
      </c>
      <c r="Z312" s="189">
        <f t="shared" si="54"/>
        <v>0</v>
      </c>
    </row>
    <row r="313" spans="1:26" x14ac:dyDescent="0.35">
      <c r="A313" s="176">
        <v>345</v>
      </c>
      <c r="B313" s="177"/>
      <c r="C313" s="178"/>
      <c r="D313" s="178"/>
      <c r="E313" s="178"/>
      <c r="F313" s="179"/>
      <c r="G313" s="179"/>
      <c r="H313" s="206"/>
      <c r="I313" s="179"/>
      <c r="J313" s="179"/>
      <c r="K313" s="179"/>
      <c r="L313" s="202">
        <v>0</v>
      </c>
      <c r="M313" s="200">
        <v>0</v>
      </c>
      <c r="N313" s="24">
        <f t="shared" si="50"/>
        <v>0</v>
      </c>
      <c r="O313" s="196">
        <f>IFERROR(IF(($N$4-VLOOKUP(REGISTRO_MAESTRO_m3!X313,DISTRIBUCION_CONTENEDORES!$A$3:$D$530,2) ) &lt; 0,0,($N$4-VLOOKUP(X313,DISTRIBUCION_CONTENEDORES!$A$3:$D$530,2) ) * (M313/VLOOKUP(X313,DISTRIBUCION_CONTENEDORES!$A$3:$D$530,2))),0) *$N$5</f>
        <v>0</v>
      </c>
      <c r="P313" s="194">
        <f t="shared" si="55"/>
        <v>0</v>
      </c>
      <c r="Q313" s="190">
        <f t="shared" si="56"/>
        <v>0</v>
      </c>
      <c r="R313" s="188">
        <f t="shared" si="51"/>
        <v>0</v>
      </c>
      <c r="S313" s="213">
        <v>0</v>
      </c>
      <c r="T313" s="191">
        <f t="shared" si="52"/>
        <v>0</v>
      </c>
      <c r="U313" s="187">
        <f t="shared" si="57"/>
        <v>0</v>
      </c>
      <c r="V313" s="203">
        <f t="shared" si="53"/>
        <v>0</v>
      </c>
      <c r="W313" s="56">
        <f t="shared" si="58"/>
        <v>0</v>
      </c>
      <c r="X313" s="207">
        <v>0</v>
      </c>
      <c r="Y313" s="189">
        <v>0</v>
      </c>
      <c r="Z313" s="189">
        <f t="shared" si="54"/>
        <v>0</v>
      </c>
    </row>
    <row r="314" spans="1:26" x14ac:dyDescent="0.35">
      <c r="A314" s="176">
        <v>346</v>
      </c>
      <c r="B314" s="177"/>
      <c r="C314" s="178"/>
      <c r="D314" s="178"/>
      <c r="E314" s="178"/>
      <c r="F314" s="179"/>
      <c r="G314" s="179"/>
      <c r="H314" s="206"/>
      <c r="I314" s="179"/>
      <c r="J314" s="179"/>
      <c r="K314" s="179"/>
      <c r="L314" s="202">
        <v>0</v>
      </c>
      <c r="M314" s="200">
        <v>0</v>
      </c>
      <c r="N314" s="24">
        <f t="shared" si="50"/>
        <v>0</v>
      </c>
      <c r="O314" s="196">
        <f>IFERROR(IF(($N$4-VLOOKUP(REGISTRO_MAESTRO_m3!X314,DISTRIBUCION_CONTENEDORES!$A$3:$D$530,2) ) &lt; 0,0,($N$4-VLOOKUP(X314,DISTRIBUCION_CONTENEDORES!$A$3:$D$530,2) ) * (M314/VLOOKUP(X314,DISTRIBUCION_CONTENEDORES!$A$3:$D$530,2))),0) *$N$5</f>
        <v>0</v>
      </c>
      <c r="P314" s="194">
        <f t="shared" si="55"/>
        <v>0</v>
      </c>
      <c r="Q314" s="190">
        <f t="shared" si="56"/>
        <v>0</v>
      </c>
      <c r="R314" s="188">
        <f t="shared" si="51"/>
        <v>0</v>
      </c>
      <c r="S314" s="213">
        <v>0</v>
      </c>
      <c r="T314" s="191">
        <f t="shared" si="52"/>
        <v>0</v>
      </c>
      <c r="U314" s="187">
        <f t="shared" si="57"/>
        <v>0</v>
      </c>
      <c r="V314" s="203">
        <f t="shared" si="53"/>
        <v>0</v>
      </c>
      <c r="W314" s="56">
        <f t="shared" si="58"/>
        <v>0</v>
      </c>
      <c r="X314" s="207">
        <v>0</v>
      </c>
      <c r="Y314" s="189">
        <v>0</v>
      </c>
      <c r="Z314" s="189">
        <f t="shared" si="54"/>
        <v>0</v>
      </c>
    </row>
    <row r="315" spans="1:26" x14ac:dyDescent="0.35">
      <c r="A315" s="176">
        <v>347</v>
      </c>
      <c r="B315" s="177"/>
      <c r="C315" s="178"/>
      <c r="D315" s="178"/>
      <c r="E315" s="178"/>
      <c r="F315" s="179"/>
      <c r="G315" s="179"/>
      <c r="H315" s="206"/>
      <c r="I315" s="179"/>
      <c r="J315" s="179"/>
      <c r="K315" s="179"/>
      <c r="L315" s="202">
        <v>0</v>
      </c>
      <c r="M315" s="200">
        <v>0</v>
      </c>
      <c r="N315" s="24">
        <f t="shared" si="50"/>
        <v>0</v>
      </c>
      <c r="O315" s="196">
        <f>IFERROR(IF(($N$4-VLOOKUP(REGISTRO_MAESTRO_m3!X315,DISTRIBUCION_CONTENEDORES!$A$3:$D$530,2) ) &lt; 0,0,($N$4-VLOOKUP(X315,DISTRIBUCION_CONTENEDORES!$A$3:$D$530,2) ) * (M315/VLOOKUP(X315,DISTRIBUCION_CONTENEDORES!$A$3:$D$530,2))),0) *$N$5</f>
        <v>0</v>
      </c>
      <c r="P315" s="194">
        <f t="shared" si="55"/>
        <v>0</v>
      </c>
      <c r="Q315" s="190">
        <f t="shared" si="56"/>
        <v>0</v>
      </c>
      <c r="R315" s="188">
        <f t="shared" si="51"/>
        <v>0</v>
      </c>
      <c r="S315" s="213">
        <v>0</v>
      </c>
      <c r="T315" s="191">
        <f t="shared" si="52"/>
        <v>0</v>
      </c>
      <c r="U315" s="187">
        <f t="shared" si="57"/>
        <v>0</v>
      </c>
      <c r="V315" s="203">
        <f t="shared" si="53"/>
        <v>0</v>
      </c>
      <c r="W315" s="56">
        <f t="shared" si="58"/>
        <v>0</v>
      </c>
      <c r="X315" s="207">
        <v>0</v>
      </c>
      <c r="Y315" s="189">
        <v>0</v>
      </c>
      <c r="Z315" s="189">
        <f t="shared" si="54"/>
        <v>0</v>
      </c>
    </row>
    <row r="316" spans="1:26" x14ac:dyDescent="0.35">
      <c r="A316" s="176">
        <v>348</v>
      </c>
      <c r="B316" s="177"/>
      <c r="C316" s="178"/>
      <c r="D316" s="178"/>
      <c r="E316" s="178"/>
      <c r="F316" s="179"/>
      <c r="G316" s="179"/>
      <c r="H316" s="206"/>
      <c r="I316" s="179"/>
      <c r="J316" s="179"/>
      <c r="K316" s="179"/>
      <c r="L316" s="202">
        <v>0</v>
      </c>
      <c r="M316" s="200">
        <v>0</v>
      </c>
      <c r="N316" s="24">
        <f t="shared" si="50"/>
        <v>0</v>
      </c>
      <c r="O316" s="196">
        <f>IFERROR(IF(($N$4-VLOOKUP(REGISTRO_MAESTRO_m3!X316,DISTRIBUCION_CONTENEDORES!$A$3:$D$530,2) ) &lt; 0,0,($N$4-VLOOKUP(X316,DISTRIBUCION_CONTENEDORES!$A$3:$D$530,2) ) * (M316/VLOOKUP(X316,DISTRIBUCION_CONTENEDORES!$A$3:$D$530,2))),0) *$N$5</f>
        <v>0</v>
      </c>
      <c r="P316" s="194">
        <f t="shared" si="55"/>
        <v>0</v>
      </c>
      <c r="Q316" s="190">
        <f t="shared" si="56"/>
        <v>0</v>
      </c>
      <c r="R316" s="188">
        <f t="shared" si="51"/>
        <v>0</v>
      </c>
      <c r="S316" s="213">
        <v>0</v>
      </c>
      <c r="T316" s="191">
        <f t="shared" si="52"/>
        <v>0</v>
      </c>
      <c r="U316" s="187">
        <f t="shared" si="57"/>
        <v>0</v>
      </c>
      <c r="V316" s="203">
        <f t="shared" si="53"/>
        <v>0</v>
      </c>
      <c r="W316" s="56">
        <f t="shared" si="58"/>
        <v>0</v>
      </c>
      <c r="X316" s="207">
        <v>0</v>
      </c>
      <c r="Y316" s="189">
        <v>0</v>
      </c>
      <c r="Z316" s="189">
        <f t="shared" si="54"/>
        <v>0</v>
      </c>
    </row>
    <row r="317" spans="1:26" x14ac:dyDescent="0.35">
      <c r="A317" s="176">
        <v>349</v>
      </c>
      <c r="B317" s="177"/>
      <c r="C317" s="178"/>
      <c r="D317" s="178"/>
      <c r="E317" s="178"/>
      <c r="F317" s="179"/>
      <c r="G317" s="179"/>
      <c r="H317" s="206"/>
      <c r="I317" s="179"/>
      <c r="J317" s="179"/>
      <c r="K317" s="179"/>
      <c r="L317" s="202">
        <v>0</v>
      </c>
      <c r="M317" s="200">
        <v>0</v>
      </c>
      <c r="N317" s="24">
        <f t="shared" si="50"/>
        <v>0</v>
      </c>
      <c r="O317" s="196">
        <f>IFERROR(IF(($N$4-VLOOKUP(REGISTRO_MAESTRO_m3!X317,DISTRIBUCION_CONTENEDORES!$A$3:$D$530,2) ) &lt; 0,0,($N$4-VLOOKUP(X317,DISTRIBUCION_CONTENEDORES!$A$3:$D$530,2) ) * (M317/VLOOKUP(X317,DISTRIBUCION_CONTENEDORES!$A$3:$D$530,2))),0) *$N$5</f>
        <v>0</v>
      </c>
      <c r="P317" s="194">
        <f t="shared" si="55"/>
        <v>0</v>
      </c>
      <c r="Q317" s="190">
        <f t="shared" si="56"/>
        <v>0</v>
      </c>
      <c r="R317" s="188">
        <f t="shared" si="51"/>
        <v>0</v>
      </c>
      <c r="S317" s="213">
        <v>0</v>
      </c>
      <c r="T317" s="191">
        <f t="shared" si="52"/>
        <v>0</v>
      </c>
      <c r="U317" s="187">
        <f t="shared" si="57"/>
        <v>0</v>
      </c>
      <c r="V317" s="203">
        <f t="shared" si="53"/>
        <v>0</v>
      </c>
      <c r="W317" s="56">
        <f t="shared" si="58"/>
        <v>0</v>
      </c>
      <c r="X317" s="207">
        <v>0</v>
      </c>
      <c r="Y317" s="189">
        <v>0</v>
      </c>
      <c r="Z317" s="189">
        <f t="shared" si="54"/>
        <v>0</v>
      </c>
    </row>
    <row r="318" spans="1:26" x14ac:dyDescent="0.35">
      <c r="A318" s="176">
        <v>350</v>
      </c>
      <c r="B318" s="177"/>
      <c r="C318" s="178"/>
      <c r="D318" s="178"/>
      <c r="E318" s="178"/>
      <c r="F318" s="179"/>
      <c r="G318" s="179"/>
      <c r="H318" s="206"/>
      <c r="I318" s="179"/>
      <c r="J318" s="179"/>
      <c r="K318" s="179"/>
      <c r="L318" s="202">
        <v>0</v>
      </c>
      <c r="M318" s="200">
        <v>0</v>
      </c>
      <c r="N318" s="24">
        <f t="shared" si="50"/>
        <v>0</v>
      </c>
      <c r="O318" s="196">
        <f>IFERROR(IF(($N$4-VLOOKUP(REGISTRO_MAESTRO_m3!X318,DISTRIBUCION_CONTENEDORES!$A$3:$D$530,2) ) &lt; 0,0,($N$4-VLOOKUP(X318,DISTRIBUCION_CONTENEDORES!$A$3:$D$530,2) ) * (M318/VLOOKUP(X318,DISTRIBUCION_CONTENEDORES!$A$3:$D$530,2))),0) *$N$5</f>
        <v>0</v>
      </c>
      <c r="P318" s="194">
        <f t="shared" si="55"/>
        <v>0</v>
      </c>
      <c r="Q318" s="190">
        <f t="shared" si="56"/>
        <v>0</v>
      </c>
      <c r="R318" s="188">
        <f t="shared" si="51"/>
        <v>0</v>
      </c>
      <c r="S318" s="213">
        <v>0</v>
      </c>
      <c r="T318" s="191">
        <f t="shared" si="52"/>
        <v>0</v>
      </c>
      <c r="U318" s="187">
        <f t="shared" si="57"/>
        <v>0</v>
      </c>
      <c r="V318" s="203">
        <f t="shared" si="53"/>
        <v>0</v>
      </c>
      <c r="W318" s="56">
        <f t="shared" si="58"/>
        <v>0</v>
      </c>
      <c r="X318" s="207">
        <v>0</v>
      </c>
      <c r="Y318" s="189">
        <v>0</v>
      </c>
      <c r="Z318" s="189">
        <f t="shared" si="54"/>
        <v>0</v>
      </c>
    </row>
    <row r="319" spans="1:26" x14ac:dyDescent="0.35">
      <c r="A319" s="176">
        <v>351</v>
      </c>
      <c r="B319" s="177"/>
      <c r="C319" s="178"/>
      <c r="D319" s="178"/>
      <c r="E319" s="178"/>
      <c r="F319" s="179"/>
      <c r="G319" s="179"/>
      <c r="H319" s="206"/>
      <c r="I319" s="179"/>
      <c r="J319" s="179"/>
      <c r="K319" s="179"/>
      <c r="L319" s="202">
        <v>0</v>
      </c>
      <c r="M319" s="200">
        <v>0</v>
      </c>
      <c r="N319" s="24">
        <f t="shared" si="50"/>
        <v>0</v>
      </c>
      <c r="O319" s="196">
        <f>IFERROR(IF(($N$4-VLOOKUP(REGISTRO_MAESTRO_m3!X319,DISTRIBUCION_CONTENEDORES!$A$3:$D$530,2) ) &lt; 0,0,($N$4-VLOOKUP(X319,DISTRIBUCION_CONTENEDORES!$A$3:$D$530,2) ) * (M319/VLOOKUP(X319,DISTRIBUCION_CONTENEDORES!$A$3:$D$530,2))),0) *$N$5</f>
        <v>0</v>
      </c>
      <c r="P319" s="194">
        <f t="shared" si="55"/>
        <v>0</v>
      </c>
      <c r="Q319" s="190">
        <f t="shared" si="56"/>
        <v>0</v>
      </c>
      <c r="R319" s="188">
        <f t="shared" si="51"/>
        <v>0</v>
      </c>
      <c r="S319" s="213">
        <v>0</v>
      </c>
      <c r="T319" s="191">
        <f t="shared" si="52"/>
        <v>0</v>
      </c>
      <c r="U319" s="187">
        <f t="shared" si="57"/>
        <v>0</v>
      </c>
      <c r="V319" s="203">
        <f t="shared" si="53"/>
        <v>0</v>
      </c>
      <c r="W319" s="56">
        <f t="shared" si="58"/>
        <v>0</v>
      </c>
      <c r="X319" s="207">
        <v>0</v>
      </c>
      <c r="Y319" s="189">
        <v>0</v>
      </c>
      <c r="Z319" s="189">
        <f t="shared" si="54"/>
        <v>0</v>
      </c>
    </row>
    <row r="320" spans="1:26" x14ac:dyDescent="0.35">
      <c r="A320" s="176">
        <v>352</v>
      </c>
      <c r="B320" s="177"/>
      <c r="C320" s="178"/>
      <c r="D320" s="178"/>
      <c r="E320" s="178"/>
      <c r="F320" s="179"/>
      <c r="G320" s="179"/>
      <c r="H320" s="206"/>
      <c r="I320" s="179"/>
      <c r="J320" s="179"/>
      <c r="K320" s="179"/>
      <c r="L320" s="202">
        <v>0</v>
      </c>
      <c r="M320" s="200">
        <v>0</v>
      </c>
      <c r="N320" s="24">
        <f t="shared" si="50"/>
        <v>0</v>
      </c>
      <c r="O320" s="196">
        <f>IFERROR(IF(($N$4-VLOOKUP(REGISTRO_MAESTRO_m3!X320,DISTRIBUCION_CONTENEDORES!$A$3:$D$530,2) ) &lt; 0,0,($N$4-VLOOKUP(X320,DISTRIBUCION_CONTENEDORES!$A$3:$D$530,2) ) * (M320/VLOOKUP(X320,DISTRIBUCION_CONTENEDORES!$A$3:$D$530,2))),0) *$N$5</f>
        <v>0</v>
      </c>
      <c r="P320" s="194">
        <f t="shared" si="55"/>
        <v>0</v>
      </c>
      <c r="Q320" s="190">
        <f t="shared" si="56"/>
        <v>0</v>
      </c>
      <c r="R320" s="188">
        <f t="shared" si="51"/>
        <v>0</v>
      </c>
      <c r="S320" s="213">
        <v>0</v>
      </c>
      <c r="T320" s="191">
        <f t="shared" si="52"/>
        <v>0</v>
      </c>
      <c r="U320" s="187">
        <f t="shared" si="57"/>
        <v>0</v>
      </c>
      <c r="V320" s="203">
        <f t="shared" si="53"/>
        <v>0</v>
      </c>
      <c r="W320" s="56">
        <f t="shared" si="58"/>
        <v>0</v>
      </c>
      <c r="X320" s="207">
        <v>0</v>
      </c>
      <c r="Y320" s="189">
        <v>0</v>
      </c>
      <c r="Z320" s="189">
        <f t="shared" si="54"/>
        <v>0</v>
      </c>
    </row>
    <row r="321" spans="1:26" x14ac:dyDescent="0.35">
      <c r="A321" s="176">
        <v>353</v>
      </c>
      <c r="B321" s="177"/>
      <c r="C321" s="178"/>
      <c r="D321" s="178"/>
      <c r="E321" s="178"/>
      <c r="F321" s="179"/>
      <c r="G321" s="179"/>
      <c r="H321" s="206"/>
      <c r="I321" s="179"/>
      <c r="J321" s="179"/>
      <c r="K321" s="179"/>
      <c r="L321" s="202">
        <v>0</v>
      </c>
      <c r="M321" s="200">
        <v>0</v>
      </c>
      <c r="N321" s="24">
        <f t="shared" si="50"/>
        <v>0</v>
      </c>
      <c r="O321" s="196">
        <f>IFERROR(IF(($N$4-VLOOKUP(REGISTRO_MAESTRO_m3!X321,DISTRIBUCION_CONTENEDORES!$A$3:$D$530,2) ) &lt; 0,0,($N$4-VLOOKUP(X321,DISTRIBUCION_CONTENEDORES!$A$3:$D$530,2) ) * (M321/VLOOKUP(X321,DISTRIBUCION_CONTENEDORES!$A$3:$D$530,2))),0) *$N$5</f>
        <v>0</v>
      </c>
      <c r="P321" s="194">
        <f t="shared" si="55"/>
        <v>0</v>
      </c>
      <c r="Q321" s="190">
        <f t="shared" si="56"/>
        <v>0</v>
      </c>
      <c r="R321" s="188">
        <f t="shared" si="51"/>
        <v>0</v>
      </c>
      <c r="S321" s="213">
        <v>0</v>
      </c>
      <c r="T321" s="191">
        <f t="shared" si="52"/>
        <v>0</v>
      </c>
      <c r="U321" s="187">
        <f t="shared" si="57"/>
        <v>0</v>
      </c>
      <c r="V321" s="203">
        <f t="shared" si="53"/>
        <v>0</v>
      </c>
      <c r="W321" s="56">
        <f t="shared" si="58"/>
        <v>0</v>
      </c>
      <c r="X321" s="207">
        <v>0</v>
      </c>
      <c r="Y321" s="189">
        <v>0</v>
      </c>
      <c r="Z321" s="189">
        <f t="shared" si="54"/>
        <v>0</v>
      </c>
    </row>
    <row r="322" spans="1:26" x14ac:dyDescent="0.35">
      <c r="A322" s="176">
        <v>354</v>
      </c>
      <c r="B322" s="177"/>
      <c r="C322" s="178"/>
      <c r="D322" s="178"/>
      <c r="E322" s="178"/>
      <c r="F322" s="179"/>
      <c r="G322" s="179"/>
      <c r="H322" s="206"/>
      <c r="I322" s="179"/>
      <c r="J322" s="179"/>
      <c r="K322" s="179"/>
      <c r="L322" s="202">
        <v>0</v>
      </c>
      <c r="M322" s="200">
        <v>0</v>
      </c>
      <c r="N322" s="24">
        <f t="shared" si="50"/>
        <v>0</v>
      </c>
      <c r="O322" s="196">
        <f>IFERROR(IF(($N$4-VLOOKUP(REGISTRO_MAESTRO_m3!X322,DISTRIBUCION_CONTENEDORES!$A$3:$D$530,2) ) &lt; 0,0,($N$4-VLOOKUP(X322,DISTRIBUCION_CONTENEDORES!$A$3:$D$530,2) ) * (M322/VLOOKUP(X322,DISTRIBUCION_CONTENEDORES!$A$3:$D$530,2))),0) *$N$5</f>
        <v>0</v>
      </c>
      <c r="P322" s="194">
        <f t="shared" si="55"/>
        <v>0</v>
      </c>
      <c r="Q322" s="190">
        <f t="shared" si="56"/>
        <v>0</v>
      </c>
      <c r="R322" s="188">
        <f t="shared" si="51"/>
        <v>0</v>
      </c>
      <c r="S322" s="213">
        <v>0</v>
      </c>
      <c r="T322" s="191">
        <f t="shared" si="52"/>
        <v>0</v>
      </c>
      <c r="U322" s="187">
        <f t="shared" si="57"/>
        <v>0</v>
      </c>
      <c r="V322" s="203">
        <f t="shared" si="53"/>
        <v>0</v>
      </c>
      <c r="W322" s="56">
        <f t="shared" si="58"/>
        <v>0</v>
      </c>
      <c r="X322" s="207">
        <v>0</v>
      </c>
      <c r="Y322" s="189">
        <v>0</v>
      </c>
      <c r="Z322" s="189">
        <f t="shared" si="54"/>
        <v>0</v>
      </c>
    </row>
    <row r="323" spans="1:26" x14ac:dyDescent="0.35">
      <c r="A323" s="176">
        <v>355</v>
      </c>
      <c r="B323" s="177"/>
      <c r="C323" s="178"/>
      <c r="D323" s="178"/>
      <c r="E323" s="178"/>
      <c r="F323" s="179"/>
      <c r="G323" s="179"/>
      <c r="H323" s="206"/>
      <c r="I323" s="179"/>
      <c r="J323" s="179"/>
      <c r="K323" s="179"/>
      <c r="L323" s="202">
        <v>0</v>
      </c>
      <c r="M323" s="200">
        <v>0</v>
      </c>
      <c r="N323" s="24">
        <f t="shared" si="50"/>
        <v>0</v>
      </c>
      <c r="O323" s="196">
        <f>IFERROR(IF(($N$4-VLOOKUP(REGISTRO_MAESTRO_m3!X323,DISTRIBUCION_CONTENEDORES!$A$3:$D$530,2) ) &lt; 0,0,($N$4-VLOOKUP(X323,DISTRIBUCION_CONTENEDORES!$A$3:$D$530,2) ) * (M323/VLOOKUP(X323,DISTRIBUCION_CONTENEDORES!$A$3:$D$530,2))),0) *$N$5</f>
        <v>0</v>
      </c>
      <c r="P323" s="194">
        <f t="shared" si="55"/>
        <v>0</v>
      </c>
      <c r="Q323" s="190">
        <f t="shared" si="56"/>
        <v>0</v>
      </c>
      <c r="R323" s="188">
        <f t="shared" si="51"/>
        <v>0</v>
      </c>
      <c r="S323" s="213">
        <v>0</v>
      </c>
      <c r="T323" s="191">
        <f t="shared" si="52"/>
        <v>0</v>
      </c>
      <c r="U323" s="187">
        <f t="shared" si="57"/>
        <v>0</v>
      </c>
      <c r="V323" s="203">
        <f t="shared" si="53"/>
        <v>0</v>
      </c>
      <c r="W323" s="56">
        <f t="shared" si="58"/>
        <v>0</v>
      </c>
      <c r="X323" s="207">
        <v>0</v>
      </c>
      <c r="Y323" s="189">
        <v>0</v>
      </c>
      <c r="Z323" s="189">
        <f t="shared" si="54"/>
        <v>0</v>
      </c>
    </row>
    <row r="324" spans="1:26" x14ac:dyDescent="0.35">
      <c r="A324" s="176">
        <v>356</v>
      </c>
      <c r="B324" s="177"/>
      <c r="C324" s="178"/>
      <c r="D324" s="178"/>
      <c r="E324" s="178"/>
      <c r="F324" s="179"/>
      <c r="G324" s="179"/>
      <c r="H324" s="206"/>
      <c r="I324" s="179"/>
      <c r="J324" s="179"/>
      <c r="K324" s="179"/>
      <c r="L324" s="202">
        <v>0</v>
      </c>
      <c r="M324" s="200">
        <v>0</v>
      </c>
      <c r="N324" s="24">
        <f t="shared" si="50"/>
        <v>0</v>
      </c>
      <c r="O324" s="196">
        <f>IFERROR(IF(($N$4-VLOOKUP(REGISTRO_MAESTRO_m3!X324,DISTRIBUCION_CONTENEDORES!$A$3:$D$530,2) ) &lt; 0,0,($N$4-VLOOKUP(X324,DISTRIBUCION_CONTENEDORES!$A$3:$D$530,2) ) * (M324/VLOOKUP(X324,DISTRIBUCION_CONTENEDORES!$A$3:$D$530,2))),0) *$N$5</f>
        <v>0</v>
      </c>
      <c r="P324" s="194">
        <f t="shared" si="55"/>
        <v>0</v>
      </c>
      <c r="Q324" s="190">
        <f t="shared" si="56"/>
        <v>0</v>
      </c>
      <c r="R324" s="188">
        <f t="shared" si="51"/>
        <v>0</v>
      </c>
      <c r="S324" s="213">
        <v>0</v>
      </c>
      <c r="T324" s="191">
        <f t="shared" si="52"/>
        <v>0</v>
      </c>
      <c r="U324" s="187">
        <f t="shared" si="57"/>
        <v>0</v>
      </c>
      <c r="V324" s="203">
        <f t="shared" si="53"/>
        <v>0</v>
      </c>
      <c r="W324" s="56">
        <f t="shared" si="58"/>
        <v>0</v>
      </c>
      <c r="X324" s="207">
        <v>0</v>
      </c>
      <c r="Y324" s="189">
        <v>0</v>
      </c>
      <c r="Z324" s="189">
        <f t="shared" si="54"/>
        <v>0</v>
      </c>
    </row>
    <row r="325" spans="1:26" x14ac:dyDescent="0.35">
      <c r="A325" s="176">
        <v>357</v>
      </c>
      <c r="B325" s="177"/>
      <c r="C325" s="178"/>
      <c r="D325" s="178"/>
      <c r="E325" s="178"/>
      <c r="F325" s="179"/>
      <c r="G325" s="179"/>
      <c r="H325" s="206"/>
      <c r="I325" s="179"/>
      <c r="J325" s="179"/>
      <c r="K325" s="179"/>
      <c r="L325" s="202">
        <v>0</v>
      </c>
      <c r="M325" s="200">
        <v>0</v>
      </c>
      <c r="N325" s="24">
        <f t="shared" si="50"/>
        <v>0</v>
      </c>
      <c r="O325" s="196">
        <f>IFERROR(IF(($N$4-VLOOKUP(REGISTRO_MAESTRO_m3!X325,DISTRIBUCION_CONTENEDORES!$A$3:$D$530,2) ) &lt; 0,0,($N$4-VLOOKUP(X325,DISTRIBUCION_CONTENEDORES!$A$3:$D$530,2) ) * (M325/VLOOKUP(X325,DISTRIBUCION_CONTENEDORES!$A$3:$D$530,2))),0) *$N$5</f>
        <v>0</v>
      </c>
      <c r="P325" s="194">
        <f t="shared" si="55"/>
        <v>0</v>
      </c>
      <c r="Q325" s="190">
        <f t="shared" si="56"/>
        <v>0</v>
      </c>
      <c r="R325" s="188">
        <f t="shared" si="51"/>
        <v>0</v>
      </c>
      <c r="S325" s="213">
        <v>0</v>
      </c>
      <c r="T325" s="191">
        <f t="shared" si="52"/>
        <v>0</v>
      </c>
      <c r="U325" s="187">
        <f t="shared" si="57"/>
        <v>0</v>
      </c>
      <c r="V325" s="203">
        <f t="shared" si="53"/>
        <v>0</v>
      </c>
      <c r="W325" s="56">
        <f t="shared" si="58"/>
        <v>0</v>
      </c>
      <c r="X325" s="207">
        <v>0</v>
      </c>
      <c r="Y325" s="189">
        <v>0</v>
      </c>
      <c r="Z325" s="189">
        <f t="shared" si="54"/>
        <v>0</v>
      </c>
    </row>
    <row r="326" spans="1:26" x14ac:dyDescent="0.35">
      <c r="A326" s="176">
        <v>358</v>
      </c>
      <c r="B326" s="177"/>
      <c r="C326" s="178"/>
      <c r="D326" s="178"/>
      <c r="E326" s="178"/>
      <c r="F326" s="179"/>
      <c r="G326" s="179"/>
      <c r="H326" s="206"/>
      <c r="I326" s="179"/>
      <c r="J326" s="179"/>
      <c r="K326" s="179"/>
      <c r="L326" s="202">
        <v>0</v>
      </c>
      <c r="M326" s="200">
        <v>0</v>
      </c>
      <c r="N326" s="24">
        <f t="shared" si="50"/>
        <v>0</v>
      </c>
      <c r="O326" s="196">
        <f>IFERROR(IF(($N$4-VLOOKUP(REGISTRO_MAESTRO_m3!X326,DISTRIBUCION_CONTENEDORES!$A$3:$D$530,2) ) &lt; 0,0,($N$4-VLOOKUP(X326,DISTRIBUCION_CONTENEDORES!$A$3:$D$530,2) ) * (M326/VLOOKUP(X326,DISTRIBUCION_CONTENEDORES!$A$3:$D$530,2))),0) *$N$5</f>
        <v>0</v>
      </c>
      <c r="P326" s="194">
        <f t="shared" si="55"/>
        <v>0</v>
      </c>
      <c r="Q326" s="190">
        <f t="shared" si="56"/>
        <v>0</v>
      </c>
      <c r="R326" s="188">
        <f t="shared" si="51"/>
        <v>0</v>
      </c>
      <c r="S326" s="213">
        <v>0</v>
      </c>
      <c r="T326" s="191">
        <f t="shared" si="52"/>
        <v>0</v>
      </c>
      <c r="U326" s="187">
        <f t="shared" si="57"/>
        <v>0</v>
      </c>
      <c r="V326" s="203">
        <f t="shared" si="53"/>
        <v>0</v>
      </c>
      <c r="W326" s="56">
        <f t="shared" si="58"/>
        <v>0</v>
      </c>
      <c r="X326" s="207">
        <v>0</v>
      </c>
      <c r="Y326" s="189">
        <v>0</v>
      </c>
      <c r="Z326" s="189">
        <f t="shared" si="54"/>
        <v>0</v>
      </c>
    </row>
    <row r="327" spans="1:26" x14ac:dyDescent="0.35">
      <c r="A327" s="176">
        <v>359</v>
      </c>
      <c r="B327" s="177"/>
      <c r="C327" s="178"/>
      <c r="D327" s="178"/>
      <c r="E327" s="178"/>
      <c r="F327" s="179"/>
      <c r="G327" s="179"/>
      <c r="H327" s="206"/>
      <c r="I327" s="179"/>
      <c r="J327" s="179"/>
      <c r="K327" s="179"/>
      <c r="L327" s="202">
        <v>0</v>
      </c>
      <c r="M327" s="200">
        <v>0</v>
      </c>
      <c r="N327" s="24">
        <f t="shared" si="50"/>
        <v>0</v>
      </c>
      <c r="O327" s="196">
        <f>IFERROR(IF(($N$4-VLOOKUP(REGISTRO_MAESTRO_m3!X327,DISTRIBUCION_CONTENEDORES!$A$3:$D$530,2) ) &lt; 0,0,($N$4-VLOOKUP(X327,DISTRIBUCION_CONTENEDORES!$A$3:$D$530,2) ) * (M327/VLOOKUP(X327,DISTRIBUCION_CONTENEDORES!$A$3:$D$530,2))),0) *$N$5</f>
        <v>0</v>
      </c>
      <c r="P327" s="194">
        <f t="shared" si="55"/>
        <v>0</v>
      </c>
      <c r="Q327" s="190">
        <f t="shared" si="56"/>
        <v>0</v>
      </c>
      <c r="R327" s="188">
        <f t="shared" si="51"/>
        <v>0</v>
      </c>
      <c r="S327" s="213">
        <v>0</v>
      </c>
      <c r="T327" s="191">
        <f t="shared" si="52"/>
        <v>0</v>
      </c>
      <c r="U327" s="187">
        <f t="shared" si="57"/>
        <v>0</v>
      </c>
      <c r="V327" s="203">
        <f t="shared" si="53"/>
        <v>0</v>
      </c>
      <c r="W327" s="56">
        <f t="shared" si="58"/>
        <v>0</v>
      </c>
      <c r="X327" s="207">
        <v>0</v>
      </c>
      <c r="Y327" s="189">
        <v>0</v>
      </c>
      <c r="Z327" s="189">
        <f t="shared" si="54"/>
        <v>0</v>
      </c>
    </row>
    <row r="328" spans="1:26" x14ac:dyDescent="0.35">
      <c r="A328" s="176">
        <v>360</v>
      </c>
      <c r="B328" s="177"/>
      <c r="C328" s="178"/>
      <c r="D328" s="178"/>
      <c r="E328" s="178"/>
      <c r="F328" s="179"/>
      <c r="G328" s="179"/>
      <c r="H328" s="206"/>
      <c r="I328" s="179"/>
      <c r="J328" s="179"/>
      <c r="K328" s="179"/>
      <c r="L328" s="202">
        <v>0</v>
      </c>
      <c r="M328" s="200">
        <v>0</v>
      </c>
      <c r="N328" s="24">
        <f t="shared" si="50"/>
        <v>0</v>
      </c>
      <c r="O328" s="196">
        <f>IFERROR(IF(($N$4-VLOOKUP(REGISTRO_MAESTRO_m3!X328,DISTRIBUCION_CONTENEDORES!$A$3:$D$530,2) ) &lt; 0,0,($N$4-VLOOKUP(X328,DISTRIBUCION_CONTENEDORES!$A$3:$D$530,2) ) * (M328/VLOOKUP(X328,DISTRIBUCION_CONTENEDORES!$A$3:$D$530,2))),0) *$N$5</f>
        <v>0</v>
      </c>
      <c r="P328" s="194">
        <f t="shared" si="55"/>
        <v>0</v>
      </c>
      <c r="Q328" s="190">
        <f t="shared" si="56"/>
        <v>0</v>
      </c>
      <c r="R328" s="188">
        <f t="shared" si="51"/>
        <v>0</v>
      </c>
      <c r="S328" s="213">
        <v>0</v>
      </c>
      <c r="T328" s="191">
        <f t="shared" si="52"/>
        <v>0</v>
      </c>
      <c r="U328" s="187">
        <f t="shared" si="57"/>
        <v>0</v>
      </c>
      <c r="V328" s="203">
        <f t="shared" si="53"/>
        <v>0</v>
      </c>
      <c r="W328" s="56">
        <f t="shared" si="58"/>
        <v>0</v>
      </c>
      <c r="X328" s="207">
        <v>0</v>
      </c>
      <c r="Y328" s="189">
        <v>0</v>
      </c>
      <c r="Z328" s="189">
        <f t="shared" si="54"/>
        <v>0</v>
      </c>
    </row>
    <row r="329" spans="1:26" x14ac:dyDescent="0.35">
      <c r="A329" s="176">
        <v>361</v>
      </c>
      <c r="B329" s="177"/>
      <c r="C329" s="178"/>
      <c r="D329" s="178"/>
      <c r="E329" s="178"/>
      <c r="F329" s="179"/>
      <c r="G329" s="179"/>
      <c r="H329" s="206"/>
      <c r="I329" s="179"/>
      <c r="J329" s="179"/>
      <c r="K329" s="179"/>
      <c r="L329" s="202">
        <v>0</v>
      </c>
      <c r="M329" s="200">
        <v>0</v>
      </c>
      <c r="N329" s="24">
        <f t="shared" si="50"/>
        <v>0</v>
      </c>
      <c r="O329" s="196">
        <f>IFERROR(IF(($N$4-VLOOKUP(REGISTRO_MAESTRO_m3!X329,DISTRIBUCION_CONTENEDORES!$A$3:$D$530,2) ) &lt; 0,0,($N$4-VLOOKUP(X329,DISTRIBUCION_CONTENEDORES!$A$3:$D$530,2) ) * (M329/VLOOKUP(X329,DISTRIBUCION_CONTENEDORES!$A$3:$D$530,2))),0) *$N$5</f>
        <v>0</v>
      </c>
      <c r="P329" s="194">
        <f t="shared" si="55"/>
        <v>0</v>
      </c>
      <c r="Q329" s="190">
        <f t="shared" si="56"/>
        <v>0</v>
      </c>
      <c r="R329" s="188">
        <f t="shared" si="51"/>
        <v>0</v>
      </c>
      <c r="S329" s="213">
        <v>0</v>
      </c>
      <c r="T329" s="191">
        <f t="shared" si="52"/>
        <v>0</v>
      </c>
      <c r="U329" s="187">
        <f t="shared" si="57"/>
        <v>0</v>
      </c>
      <c r="V329" s="203">
        <f t="shared" si="53"/>
        <v>0</v>
      </c>
      <c r="W329" s="56">
        <f t="shared" si="58"/>
        <v>0</v>
      </c>
      <c r="X329" s="207">
        <v>0</v>
      </c>
      <c r="Y329" s="189">
        <v>0</v>
      </c>
      <c r="Z329" s="189">
        <f t="shared" si="54"/>
        <v>0</v>
      </c>
    </row>
    <row r="330" spans="1:26" x14ac:dyDescent="0.35">
      <c r="A330" s="176">
        <v>362</v>
      </c>
      <c r="B330" s="177"/>
      <c r="C330" s="178"/>
      <c r="D330" s="178"/>
      <c r="E330" s="178"/>
      <c r="F330" s="179"/>
      <c r="G330" s="179"/>
      <c r="H330" s="206"/>
      <c r="I330" s="179"/>
      <c r="J330" s="179"/>
      <c r="K330" s="179"/>
      <c r="L330" s="202">
        <v>0</v>
      </c>
      <c r="M330" s="200">
        <v>0</v>
      </c>
      <c r="N330" s="24">
        <f t="shared" si="50"/>
        <v>0</v>
      </c>
      <c r="O330" s="196">
        <f>IFERROR(IF(($N$4-VLOOKUP(REGISTRO_MAESTRO_m3!X330,DISTRIBUCION_CONTENEDORES!$A$3:$D$530,2) ) &lt; 0,0,($N$4-VLOOKUP(X330,DISTRIBUCION_CONTENEDORES!$A$3:$D$530,2) ) * (M330/VLOOKUP(X330,DISTRIBUCION_CONTENEDORES!$A$3:$D$530,2))),0) *$N$5</f>
        <v>0</v>
      </c>
      <c r="P330" s="194">
        <f t="shared" si="55"/>
        <v>0</v>
      </c>
      <c r="Q330" s="190">
        <f t="shared" si="56"/>
        <v>0</v>
      </c>
      <c r="R330" s="188">
        <f t="shared" si="51"/>
        <v>0</v>
      </c>
      <c r="S330" s="213">
        <v>0</v>
      </c>
      <c r="T330" s="191">
        <f t="shared" si="52"/>
        <v>0</v>
      </c>
      <c r="U330" s="187">
        <f t="shared" si="57"/>
        <v>0</v>
      </c>
      <c r="V330" s="203">
        <f t="shared" si="53"/>
        <v>0</v>
      </c>
      <c r="W330" s="56">
        <f t="shared" si="58"/>
        <v>0</v>
      </c>
      <c r="X330" s="207">
        <v>0</v>
      </c>
      <c r="Y330" s="189">
        <v>0</v>
      </c>
      <c r="Z330" s="189">
        <f t="shared" si="54"/>
        <v>0</v>
      </c>
    </row>
    <row r="331" spans="1:26" x14ac:dyDescent="0.35">
      <c r="A331" s="176">
        <v>363</v>
      </c>
      <c r="B331" s="177"/>
      <c r="C331" s="178"/>
      <c r="D331" s="178"/>
      <c r="E331" s="178"/>
      <c r="F331" s="179"/>
      <c r="G331" s="179"/>
      <c r="H331" s="206"/>
      <c r="I331" s="179"/>
      <c r="J331" s="179"/>
      <c r="K331" s="179"/>
      <c r="L331" s="202">
        <v>0</v>
      </c>
      <c r="M331" s="200">
        <v>0</v>
      </c>
      <c r="N331" s="24">
        <f t="shared" si="50"/>
        <v>0</v>
      </c>
      <c r="O331" s="196">
        <f>IFERROR(IF(($N$4-VLOOKUP(REGISTRO_MAESTRO_m3!X331,DISTRIBUCION_CONTENEDORES!$A$3:$D$530,2) ) &lt; 0,0,($N$4-VLOOKUP(X331,DISTRIBUCION_CONTENEDORES!$A$3:$D$530,2) ) * (M331/VLOOKUP(X331,DISTRIBUCION_CONTENEDORES!$A$3:$D$530,2))),0) *$N$5</f>
        <v>0</v>
      </c>
      <c r="P331" s="194">
        <f t="shared" si="55"/>
        <v>0</v>
      </c>
      <c r="Q331" s="190">
        <f t="shared" si="56"/>
        <v>0</v>
      </c>
      <c r="R331" s="188">
        <f t="shared" si="51"/>
        <v>0</v>
      </c>
      <c r="S331" s="213">
        <v>0</v>
      </c>
      <c r="T331" s="191">
        <f t="shared" si="52"/>
        <v>0</v>
      </c>
      <c r="U331" s="187">
        <f t="shared" si="57"/>
        <v>0</v>
      </c>
      <c r="V331" s="203">
        <f t="shared" si="53"/>
        <v>0</v>
      </c>
      <c r="W331" s="56">
        <f t="shared" si="58"/>
        <v>0</v>
      </c>
      <c r="X331" s="207">
        <v>0</v>
      </c>
      <c r="Y331" s="189">
        <v>0</v>
      </c>
      <c r="Z331" s="189">
        <f t="shared" si="54"/>
        <v>0</v>
      </c>
    </row>
    <row r="332" spans="1:26" x14ac:dyDescent="0.35">
      <c r="A332" s="176">
        <v>364</v>
      </c>
      <c r="B332" s="177"/>
      <c r="C332" s="178"/>
      <c r="D332" s="178"/>
      <c r="E332" s="178"/>
      <c r="F332" s="179"/>
      <c r="G332" s="179"/>
      <c r="H332" s="206"/>
      <c r="I332" s="179"/>
      <c r="J332" s="179"/>
      <c r="K332" s="179"/>
      <c r="L332" s="202">
        <v>0</v>
      </c>
      <c r="M332" s="200">
        <v>0</v>
      </c>
      <c r="N332" s="24">
        <f t="shared" si="50"/>
        <v>0</v>
      </c>
      <c r="O332" s="196">
        <f>IFERROR(IF(($N$4-VLOOKUP(REGISTRO_MAESTRO_m3!X332,DISTRIBUCION_CONTENEDORES!$A$3:$D$530,2) ) &lt; 0,0,($N$4-VLOOKUP(X332,DISTRIBUCION_CONTENEDORES!$A$3:$D$530,2) ) * (M332/VLOOKUP(X332,DISTRIBUCION_CONTENEDORES!$A$3:$D$530,2))),0) *$N$5</f>
        <v>0</v>
      </c>
      <c r="P332" s="194">
        <f t="shared" si="55"/>
        <v>0</v>
      </c>
      <c r="Q332" s="190">
        <f t="shared" si="56"/>
        <v>0</v>
      </c>
      <c r="R332" s="188">
        <f t="shared" si="51"/>
        <v>0</v>
      </c>
      <c r="S332" s="213">
        <v>0</v>
      </c>
      <c r="T332" s="191">
        <f t="shared" si="52"/>
        <v>0</v>
      </c>
      <c r="U332" s="187">
        <f t="shared" si="57"/>
        <v>0</v>
      </c>
      <c r="V332" s="203">
        <f t="shared" si="53"/>
        <v>0</v>
      </c>
      <c r="W332" s="56">
        <f t="shared" si="58"/>
        <v>0</v>
      </c>
      <c r="X332" s="207">
        <v>0</v>
      </c>
      <c r="Y332" s="189">
        <v>0</v>
      </c>
      <c r="Z332" s="189">
        <f t="shared" si="54"/>
        <v>0</v>
      </c>
    </row>
    <row r="333" spans="1:26" x14ac:dyDescent="0.35">
      <c r="A333" s="176">
        <v>365</v>
      </c>
      <c r="B333" s="177"/>
      <c r="C333" s="178"/>
      <c r="D333" s="178"/>
      <c r="E333" s="178"/>
      <c r="F333" s="179"/>
      <c r="G333" s="179"/>
      <c r="H333" s="206"/>
      <c r="I333" s="179"/>
      <c r="J333" s="179"/>
      <c r="K333" s="179"/>
      <c r="L333" s="202">
        <v>0</v>
      </c>
      <c r="M333" s="200">
        <v>0</v>
      </c>
      <c r="N333" s="24">
        <f t="shared" si="50"/>
        <v>0</v>
      </c>
      <c r="O333" s="196">
        <f>IFERROR(IF(($N$4-VLOOKUP(REGISTRO_MAESTRO_m3!X333,DISTRIBUCION_CONTENEDORES!$A$3:$D$530,2) ) &lt; 0,0,($N$4-VLOOKUP(X333,DISTRIBUCION_CONTENEDORES!$A$3:$D$530,2) ) * (M333/VLOOKUP(X333,DISTRIBUCION_CONTENEDORES!$A$3:$D$530,2))),0) *$N$5</f>
        <v>0</v>
      </c>
      <c r="P333" s="194">
        <f t="shared" si="55"/>
        <v>0</v>
      </c>
      <c r="Q333" s="190">
        <f t="shared" si="56"/>
        <v>0</v>
      </c>
      <c r="R333" s="188">
        <f t="shared" si="51"/>
        <v>0</v>
      </c>
      <c r="S333" s="213">
        <v>0</v>
      </c>
      <c r="T333" s="191">
        <f t="shared" si="52"/>
        <v>0</v>
      </c>
      <c r="U333" s="187">
        <f t="shared" si="57"/>
        <v>0</v>
      </c>
      <c r="V333" s="203">
        <f t="shared" si="53"/>
        <v>0</v>
      </c>
      <c r="W333" s="56">
        <f t="shared" si="58"/>
        <v>0</v>
      </c>
      <c r="X333" s="207">
        <v>0</v>
      </c>
      <c r="Y333" s="189">
        <v>0</v>
      </c>
      <c r="Z333" s="189">
        <f t="shared" si="54"/>
        <v>0</v>
      </c>
    </row>
    <row r="334" spans="1:26" x14ac:dyDescent="0.35">
      <c r="A334" s="176">
        <v>366</v>
      </c>
      <c r="B334" s="177"/>
      <c r="C334" s="178"/>
      <c r="D334" s="178"/>
      <c r="E334" s="178"/>
      <c r="F334" s="179"/>
      <c r="G334" s="179"/>
      <c r="H334" s="206"/>
      <c r="I334" s="179"/>
      <c r="J334" s="179"/>
      <c r="K334" s="179"/>
      <c r="L334" s="202">
        <v>0</v>
      </c>
      <c r="M334" s="200">
        <v>0</v>
      </c>
      <c r="N334" s="24">
        <f t="shared" si="50"/>
        <v>0</v>
      </c>
      <c r="O334" s="196">
        <f>IFERROR(IF(($N$4-VLOOKUP(REGISTRO_MAESTRO_m3!X334,DISTRIBUCION_CONTENEDORES!$A$3:$D$530,2) ) &lt; 0,0,($N$4-VLOOKUP(X334,DISTRIBUCION_CONTENEDORES!$A$3:$D$530,2) ) * (M334/VLOOKUP(X334,DISTRIBUCION_CONTENEDORES!$A$3:$D$530,2))),0) *$N$5</f>
        <v>0</v>
      </c>
      <c r="P334" s="194">
        <f t="shared" si="55"/>
        <v>0</v>
      </c>
      <c r="Q334" s="190">
        <f t="shared" si="56"/>
        <v>0</v>
      </c>
      <c r="R334" s="188">
        <f t="shared" si="51"/>
        <v>0</v>
      </c>
      <c r="S334" s="213">
        <v>0</v>
      </c>
      <c r="T334" s="191">
        <f t="shared" si="52"/>
        <v>0</v>
      </c>
      <c r="U334" s="187">
        <f t="shared" si="57"/>
        <v>0</v>
      </c>
      <c r="V334" s="203">
        <f t="shared" si="53"/>
        <v>0</v>
      </c>
      <c r="W334" s="56">
        <f t="shared" si="58"/>
        <v>0</v>
      </c>
      <c r="X334" s="207">
        <v>0</v>
      </c>
      <c r="Y334" s="189">
        <v>0</v>
      </c>
      <c r="Z334" s="189">
        <f t="shared" si="54"/>
        <v>0</v>
      </c>
    </row>
    <row r="335" spans="1:26" x14ac:dyDescent="0.35">
      <c r="A335" s="176">
        <v>367</v>
      </c>
      <c r="B335" s="177"/>
      <c r="C335" s="178"/>
      <c r="D335" s="178"/>
      <c r="E335" s="178"/>
      <c r="F335" s="179"/>
      <c r="G335" s="179"/>
      <c r="H335" s="206"/>
      <c r="I335" s="179"/>
      <c r="J335" s="179"/>
      <c r="K335" s="179"/>
      <c r="L335" s="202">
        <v>0</v>
      </c>
      <c r="M335" s="200">
        <v>0</v>
      </c>
      <c r="N335" s="24">
        <f t="shared" si="50"/>
        <v>0</v>
      </c>
      <c r="O335" s="196">
        <f>IFERROR(IF(($N$4-VLOOKUP(REGISTRO_MAESTRO_m3!X335,DISTRIBUCION_CONTENEDORES!$A$3:$D$530,2) ) &lt; 0,0,($N$4-VLOOKUP(X335,DISTRIBUCION_CONTENEDORES!$A$3:$D$530,2) ) * (M335/VLOOKUP(X335,DISTRIBUCION_CONTENEDORES!$A$3:$D$530,2))),0) *$N$5</f>
        <v>0</v>
      </c>
      <c r="P335" s="194">
        <f t="shared" si="55"/>
        <v>0</v>
      </c>
      <c r="Q335" s="190">
        <f t="shared" si="56"/>
        <v>0</v>
      </c>
      <c r="R335" s="188">
        <f t="shared" si="51"/>
        <v>0</v>
      </c>
      <c r="S335" s="213">
        <v>0</v>
      </c>
      <c r="T335" s="191">
        <f t="shared" si="52"/>
        <v>0</v>
      </c>
      <c r="U335" s="187">
        <f t="shared" si="57"/>
        <v>0</v>
      </c>
      <c r="V335" s="203">
        <f t="shared" si="53"/>
        <v>0</v>
      </c>
      <c r="W335" s="56">
        <f t="shared" si="58"/>
        <v>0</v>
      </c>
      <c r="X335" s="207">
        <v>0</v>
      </c>
      <c r="Y335" s="189">
        <v>0</v>
      </c>
      <c r="Z335" s="189">
        <f t="shared" si="54"/>
        <v>0</v>
      </c>
    </row>
    <row r="336" spans="1:26" x14ac:dyDescent="0.35">
      <c r="A336" s="176">
        <v>368</v>
      </c>
      <c r="B336" s="177"/>
      <c r="C336" s="178"/>
      <c r="D336" s="178"/>
      <c r="E336" s="178"/>
      <c r="F336" s="179"/>
      <c r="G336" s="179"/>
      <c r="H336" s="206"/>
      <c r="I336" s="179"/>
      <c r="J336" s="179"/>
      <c r="K336" s="179"/>
      <c r="L336" s="202">
        <v>0</v>
      </c>
      <c r="M336" s="200">
        <v>0</v>
      </c>
      <c r="N336" s="24">
        <f t="shared" si="50"/>
        <v>0</v>
      </c>
      <c r="O336" s="196">
        <f>IFERROR(IF(($N$4-VLOOKUP(REGISTRO_MAESTRO_m3!X336,DISTRIBUCION_CONTENEDORES!$A$3:$D$530,2) ) &lt; 0,0,($N$4-VLOOKUP(X336,DISTRIBUCION_CONTENEDORES!$A$3:$D$530,2) ) * (M336/VLOOKUP(X336,DISTRIBUCION_CONTENEDORES!$A$3:$D$530,2))),0) *$N$5</f>
        <v>0</v>
      </c>
      <c r="P336" s="194">
        <f t="shared" si="55"/>
        <v>0</v>
      </c>
      <c r="Q336" s="190">
        <f t="shared" si="56"/>
        <v>0</v>
      </c>
      <c r="R336" s="188">
        <f t="shared" si="51"/>
        <v>0</v>
      </c>
      <c r="S336" s="213">
        <v>0</v>
      </c>
      <c r="T336" s="191">
        <f t="shared" si="52"/>
        <v>0</v>
      </c>
      <c r="U336" s="187">
        <f t="shared" si="57"/>
        <v>0</v>
      </c>
      <c r="V336" s="203">
        <f t="shared" si="53"/>
        <v>0</v>
      </c>
      <c r="W336" s="56">
        <f t="shared" si="58"/>
        <v>0</v>
      </c>
      <c r="X336" s="207">
        <v>0</v>
      </c>
      <c r="Y336" s="189">
        <v>0</v>
      </c>
      <c r="Z336" s="189">
        <f t="shared" si="54"/>
        <v>0</v>
      </c>
    </row>
    <row r="337" spans="1:26" x14ac:dyDescent="0.35">
      <c r="A337" s="176">
        <v>369</v>
      </c>
      <c r="B337" s="177"/>
      <c r="C337" s="178"/>
      <c r="D337" s="178"/>
      <c r="E337" s="178"/>
      <c r="F337" s="179"/>
      <c r="G337" s="179"/>
      <c r="H337" s="206"/>
      <c r="I337" s="179"/>
      <c r="J337" s="179"/>
      <c r="K337" s="179"/>
      <c r="L337" s="202">
        <v>0</v>
      </c>
      <c r="M337" s="200">
        <v>0</v>
      </c>
      <c r="N337" s="24">
        <f t="shared" si="50"/>
        <v>0</v>
      </c>
      <c r="O337" s="196">
        <f>IFERROR(IF(($N$4-VLOOKUP(REGISTRO_MAESTRO_m3!X337,DISTRIBUCION_CONTENEDORES!$A$3:$D$530,2) ) &lt; 0,0,($N$4-VLOOKUP(X337,DISTRIBUCION_CONTENEDORES!$A$3:$D$530,2) ) * (M337/VLOOKUP(X337,DISTRIBUCION_CONTENEDORES!$A$3:$D$530,2))),0) *$N$5</f>
        <v>0</v>
      </c>
      <c r="P337" s="194">
        <f t="shared" si="55"/>
        <v>0</v>
      </c>
      <c r="Q337" s="190">
        <f t="shared" si="56"/>
        <v>0</v>
      </c>
      <c r="R337" s="188">
        <f t="shared" si="51"/>
        <v>0</v>
      </c>
      <c r="S337" s="213">
        <v>0</v>
      </c>
      <c r="T337" s="191">
        <f t="shared" si="52"/>
        <v>0</v>
      </c>
      <c r="U337" s="187">
        <f t="shared" si="57"/>
        <v>0</v>
      </c>
      <c r="V337" s="203">
        <f t="shared" si="53"/>
        <v>0</v>
      </c>
      <c r="W337" s="56">
        <f t="shared" si="58"/>
        <v>0</v>
      </c>
      <c r="X337" s="207">
        <v>0</v>
      </c>
      <c r="Y337" s="189">
        <v>0</v>
      </c>
      <c r="Z337" s="189">
        <f t="shared" si="54"/>
        <v>0</v>
      </c>
    </row>
    <row r="338" spans="1:26" x14ac:dyDescent="0.35">
      <c r="A338" s="176">
        <v>370</v>
      </c>
      <c r="B338" s="177"/>
      <c r="C338" s="178"/>
      <c r="D338" s="178"/>
      <c r="E338" s="178"/>
      <c r="F338" s="179"/>
      <c r="G338" s="179"/>
      <c r="H338" s="206"/>
      <c r="I338" s="179"/>
      <c r="J338" s="179"/>
      <c r="K338" s="179"/>
      <c r="L338" s="202">
        <v>0</v>
      </c>
      <c r="M338" s="200">
        <v>0</v>
      </c>
      <c r="N338" s="24">
        <f t="shared" si="50"/>
        <v>0</v>
      </c>
      <c r="O338" s="196">
        <f>IFERROR(IF(($N$4-VLOOKUP(REGISTRO_MAESTRO_m3!X338,DISTRIBUCION_CONTENEDORES!$A$3:$D$530,2) ) &lt; 0,0,($N$4-VLOOKUP(X338,DISTRIBUCION_CONTENEDORES!$A$3:$D$530,2) ) * (M338/VLOOKUP(X338,DISTRIBUCION_CONTENEDORES!$A$3:$D$530,2))),0) *$N$5</f>
        <v>0</v>
      </c>
      <c r="P338" s="194">
        <f t="shared" si="55"/>
        <v>0</v>
      </c>
      <c r="Q338" s="190">
        <f t="shared" si="56"/>
        <v>0</v>
      </c>
      <c r="R338" s="188">
        <f t="shared" si="51"/>
        <v>0</v>
      </c>
      <c r="S338" s="213">
        <v>0</v>
      </c>
      <c r="T338" s="191">
        <f t="shared" si="52"/>
        <v>0</v>
      </c>
      <c r="U338" s="187">
        <f t="shared" si="57"/>
        <v>0</v>
      </c>
      <c r="V338" s="203">
        <f t="shared" si="53"/>
        <v>0</v>
      </c>
      <c r="W338" s="56">
        <f t="shared" si="58"/>
        <v>0</v>
      </c>
      <c r="X338" s="207">
        <v>0</v>
      </c>
      <c r="Y338" s="189">
        <v>0</v>
      </c>
      <c r="Z338" s="189">
        <f t="shared" si="54"/>
        <v>0</v>
      </c>
    </row>
    <row r="339" spans="1:26" x14ac:dyDescent="0.35">
      <c r="A339" s="176">
        <v>371</v>
      </c>
      <c r="B339" s="177"/>
      <c r="C339" s="178"/>
      <c r="D339" s="178"/>
      <c r="E339" s="178"/>
      <c r="F339" s="179"/>
      <c r="G339" s="179"/>
      <c r="H339" s="206"/>
      <c r="I339" s="179"/>
      <c r="J339" s="179"/>
      <c r="K339" s="179"/>
      <c r="L339" s="202">
        <v>0</v>
      </c>
      <c r="M339" s="200">
        <v>0</v>
      </c>
      <c r="N339" s="24">
        <f t="shared" si="50"/>
        <v>0</v>
      </c>
      <c r="O339" s="196">
        <f>IFERROR(IF(($N$4-VLOOKUP(REGISTRO_MAESTRO_m3!X339,DISTRIBUCION_CONTENEDORES!$A$3:$D$530,2) ) &lt; 0,0,($N$4-VLOOKUP(X339,DISTRIBUCION_CONTENEDORES!$A$3:$D$530,2) ) * (M339/VLOOKUP(X339,DISTRIBUCION_CONTENEDORES!$A$3:$D$530,2))),0) *$N$5</f>
        <v>0</v>
      </c>
      <c r="P339" s="194">
        <f t="shared" si="55"/>
        <v>0</v>
      </c>
      <c r="Q339" s="190">
        <f t="shared" si="56"/>
        <v>0</v>
      </c>
      <c r="R339" s="188">
        <f t="shared" si="51"/>
        <v>0</v>
      </c>
      <c r="S339" s="213">
        <v>0</v>
      </c>
      <c r="T339" s="191">
        <f t="shared" si="52"/>
        <v>0</v>
      </c>
      <c r="U339" s="187">
        <f t="shared" si="57"/>
        <v>0</v>
      </c>
      <c r="V339" s="203">
        <f t="shared" si="53"/>
        <v>0</v>
      </c>
      <c r="W339" s="56">
        <f t="shared" si="58"/>
        <v>0</v>
      </c>
      <c r="X339" s="207">
        <v>0</v>
      </c>
      <c r="Y339" s="189">
        <v>0</v>
      </c>
      <c r="Z339" s="189">
        <f t="shared" si="54"/>
        <v>0</v>
      </c>
    </row>
    <row r="340" spans="1:26" x14ac:dyDescent="0.35">
      <c r="A340" s="176">
        <v>372</v>
      </c>
      <c r="B340" s="177"/>
      <c r="C340" s="178"/>
      <c r="D340" s="178"/>
      <c r="E340" s="178"/>
      <c r="F340" s="179"/>
      <c r="G340" s="179"/>
      <c r="H340" s="206"/>
      <c r="I340" s="179"/>
      <c r="J340" s="179"/>
      <c r="K340" s="179"/>
      <c r="L340" s="202">
        <v>0</v>
      </c>
      <c r="M340" s="200">
        <v>0</v>
      </c>
      <c r="N340" s="24">
        <f t="shared" si="50"/>
        <v>0</v>
      </c>
      <c r="O340" s="196">
        <f>IFERROR(IF(($N$4-VLOOKUP(REGISTRO_MAESTRO_m3!X340,DISTRIBUCION_CONTENEDORES!$A$3:$D$530,2) ) &lt; 0,0,($N$4-VLOOKUP(X340,DISTRIBUCION_CONTENEDORES!$A$3:$D$530,2) ) * (M340/VLOOKUP(X340,DISTRIBUCION_CONTENEDORES!$A$3:$D$530,2))),0) *$N$5</f>
        <v>0</v>
      </c>
      <c r="P340" s="194">
        <f t="shared" si="55"/>
        <v>0</v>
      </c>
      <c r="Q340" s="190">
        <f t="shared" si="56"/>
        <v>0</v>
      </c>
      <c r="R340" s="188">
        <f t="shared" si="51"/>
        <v>0</v>
      </c>
      <c r="S340" s="213">
        <v>0</v>
      </c>
      <c r="T340" s="191">
        <f t="shared" si="52"/>
        <v>0</v>
      </c>
      <c r="U340" s="187">
        <f t="shared" si="57"/>
        <v>0</v>
      </c>
      <c r="V340" s="203">
        <f t="shared" si="53"/>
        <v>0</v>
      </c>
      <c r="W340" s="56">
        <f t="shared" si="58"/>
        <v>0</v>
      </c>
      <c r="X340" s="207">
        <v>0</v>
      </c>
      <c r="Y340" s="189">
        <v>0</v>
      </c>
      <c r="Z340" s="189">
        <f t="shared" si="54"/>
        <v>0</v>
      </c>
    </row>
    <row r="341" spans="1:26" x14ac:dyDescent="0.35">
      <c r="A341" s="176">
        <v>373</v>
      </c>
      <c r="B341" s="177"/>
      <c r="C341" s="178"/>
      <c r="D341" s="178"/>
      <c r="E341" s="178"/>
      <c r="F341" s="179"/>
      <c r="G341" s="179"/>
      <c r="H341" s="206"/>
      <c r="I341" s="179"/>
      <c r="J341" s="179"/>
      <c r="K341" s="179"/>
      <c r="L341" s="202">
        <v>0</v>
      </c>
      <c r="M341" s="200">
        <v>0</v>
      </c>
      <c r="N341" s="24">
        <f t="shared" si="50"/>
        <v>0</v>
      </c>
      <c r="O341" s="196">
        <f>IFERROR(IF(($N$4-VLOOKUP(REGISTRO_MAESTRO_m3!X341,DISTRIBUCION_CONTENEDORES!$A$3:$D$530,2) ) &lt; 0,0,($N$4-VLOOKUP(X341,DISTRIBUCION_CONTENEDORES!$A$3:$D$530,2) ) * (M341/VLOOKUP(X341,DISTRIBUCION_CONTENEDORES!$A$3:$D$530,2))),0) *$N$5</f>
        <v>0</v>
      </c>
      <c r="P341" s="194">
        <f t="shared" si="55"/>
        <v>0</v>
      </c>
      <c r="Q341" s="190">
        <f t="shared" si="56"/>
        <v>0</v>
      </c>
      <c r="R341" s="188">
        <f t="shared" si="51"/>
        <v>0</v>
      </c>
      <c r="S341" s="213">
        <v>0</v>
      </c>
      <c r="T341" s="191">
        <f t="shared" si="52"/>
        <v>0</v>
      </c>
      <c r="U341" s="187">
        <f t="shared" si="57"/>
        <v>0</v>
      </c>
      <c r="V341" s="203">
        <f t="shared" si="53"/>
        <v>0</v>
      </c>
      <c r="W341" s="56">
        <f t="shared" si="58"/>
        <v>0</v>
      </c>
      <c r="X341" s="207">
        <v>0</v>
      </c>
      <c r="Y341" s="189">
        <v>0</v>
      </c>
      <c r="Z341" s="189">
        <f t="shared" si="54"/>
        <v>0</v>
      </c>
    </row>
    <row r="342" spans="1:26" x14ac:dyDescent="0.35">
      <c r="A342" s="176">
        <v>374</v>
      </c>
      <c r="B342" s="177"/>
      <c r="C342" s="178"/>
      <c r="D342" s="178"/>
      <c r="E342" s="178"/>
      <c r="F342" s="179"/>
      <c r="G342" s="179"/>
      <c r="H342" s="206"/>
      <c r="I342" s="179"/>
      <c r="J342" s="179"/>
      <c r="K342" s="179"/>
      <c r="L342" s="202">
        <v>0</v>
      </c>
      <c r="M342" s="200">
        <v>0</v>
      </c>
      <c r="N342" s="24">
        <f t="shared" si="50"/>
        <v>0</v>
      </c>
      <c r="O342" s="196">
        <f>IFERROR(IF(($N$4-VLOOKUP(REGISTRO_MAESTRO_m3!X342,DISTRIBUCION_CONTENEDORES!$A$3:$D$530,2) ) &lt; 0,0,($N$4-VLOOKUP(X342,DISTRIBUCION_CONTENEDORES!$A$3:$D$530,2) ) * (M342/VLOOKUP(X342,DISTRIBUCION_CONTENEDORES!$A$3:$D$530,2))),0) *$N$5</f>
        <v>0</v>
      </c>
      <c r="P342" s="194">
        <f t="shared" si="55"/>
        <v>0</v>
      </c>
      <c r="Q342" s="190">
        <f t="shared" si="56"/>
        <v>0</v>
      </c>
      <c r="R342" s="188">
        <f t="shared" si="51"/>
        <v>0</v>
      </c>
      <c r="S342" s="213">
        <v>0</v>
      </c>
      <c r="T342" s="191">
        <f t="shared" si="52"/>
        <v>0</v>
      </c>
      <c r="U342" s="187">
        <f t="shared" si="57"/>
        <v>0</v>
      </c>
      <c r="V342" s="203">
        <f t="shared" si="53"/>
        <v>0</v>
      </c>
      <c r="W342" s="56">
        <f t="shared" si="58"/>
        <v>0</v>
      </c>
      <c r="X342" s="207">
        <v>0</v>
      </c>
      <c r="Y342" s="189">
        <v>0</v>
      </c>
      <c r="Z342" s="189">
        <f t="shared" si="54"/>
        <v>0</v>
      </c>
    </row>
    <row r="343" spans="1:26" x14ac:dyDescent="0.35">
      <c r="A343" s="176">
        <v>375</v>
      </c>
      <c r="B343" s="177"/>
      <c r="C343" s="178"/>
      <c r="D343" s="178"/>
      <c r="E343" s="178"/>
      <c r="F343" s="179"/>
      <c r="G343" s="179"/>
      <c r="H343" s="206"/>
      <c r="I343" s="179"/>
      <c r="J343" s="179"/>
      <c r="K343" s="179"/>
      <c r="L343" s="202">
        <v>0</v>
      </c>
      <c r="M343" s="200">
        <v>0</v>
      </c>
      <c r="N343" s="24">
        <f t="shared" si="50"/>
        <v>0</v>
      </c>
      <c r="O343" s="196">
        <f>IFERROR(IF(($N$4-VLOOKUP(REGISTRO_MAESTRO_m3!X343,DISTRIBUCION_CONTENEDORES!$A$3:$D$530,2) ) &lt; 0,0,($N$4-VLOOKUP(X343,DISTRIBUCION_CONTENEDORES!$A$3:$D$530,2) ) * (M343/VLOOKUP(X343,DISTRIBUCION_CONTENEDORES!$A$3:$D$530,2))),0) *$N$5</f>
        <v>0</v>
      </c>
      <c r="P343" s="194">
        <f t="shared" si="55"/>
        <v>0</v>
      </c>
      <c r="Q343" s="190">
        <f t="shared" si="56"/>
        <v>0</v>
      </c>
      <c r="R343" s="188">
        <f t="shared" si="51"/>
        <v>0</v>
      </c>
      <c r="S343" s="213">
        <v>0</v>
      </c>
      <c r="T343" s="191">
        <f t="shared" si="52"/>
        <v>0</v>
      </c>
      <c r="U343" s="187">
        <f t="shared" si="57"/>
        <v>0</v>
      </c>
      <c r="V343" s="203">
        <f t="shared" si="53"/>
        <v>0</v>
      </c>
      <c r="W343" s="56">
        <f t="shared" si="58"/>
        <v>0</v>
      </c>
      <c r="X343" s="207">
        <v>0</v>
      </c>
      <c r="Y343" s="189">
        <v>0</v>
      </c>
      <c r="Z343" s="189">
        <f t="shared" si="54"/>
        <v>0</v>
      </c>
    </row>
    <row r="344" spans="1:26" x14ac:dyDescent="0.35">
      <c r="A344" s="176">
        <v>376</v>
      </c>
      <c r="B344" s="177"/>
      <c r="C344" s="178"/>
      <c r="D344" s="178"/>
      <c r="E344" s="178"/>
      <c r="F344" s="179"/>
      <c r="G344" s="179"/>
      <c r="H344" s="206"/>
      <c r="I344" s="179"/>
      <c r="J344" s="179"/>
      <c r="K344" s="179"/>
      <c r="L344" s="202">
        <v>0</v>
      </c>
      <c r="M344" s="200">
        <v>0</v>
      </c>
      <c r="N344" s="24">
        <f t="shared" si="50"/>
        <v>0</v>
      </c>
      <c r="O344" s="196">
        <f>IFERROR(IF(($N$4-VLOOKUP(REGISTRO_MAESTRO_m3!X344,DISTRIBUCION_CONTENEDORES!$A$3:$D$530,2) ) &lt; 0,0,($N$4-VLOOKUP(X344,DISTRIBUCION_CONTENEDORES!$A$3:$D$530,2) ) * (M344/VLOOKUP(X344,DISTRIBUCION_CONTENEDORES!$A$3:$D$530,2))),0) *$N$5</f>
        <v>0</v>
      </c>
      <c r="P344" s="194">
        <f t="shared" si="55"/>
        <v>0</v>
      </c>
      <c r="Q344" s="190">
        <f t="shared" si="56"/>
        <v>0</v>
      </c>
      <c r="R344" s="188">
        <f t="shared" si="51"/>
        <v>0</v>
      </c>
      <c r="S344" s="213">
        <v>0</v>
      </c>
      <c r="T344" s="191">
        <f t="shared" si="52"/>
        <v>0</v>
      </c>
      <c r="U344" s="187">
        <f t="shared" si="57"/>
        <v>0</v>
      </c>
      <c r="V344" s="203">
        <f t="shared" si="53"/>
        <v>0</v>
      </c>
      <c r="W344" s="56">
        <f t="shared" si="58"/>
        <v>0</v>
      </c>
      <c r="X344" s="207">
        <v>0</v>
      </c>
      <c r="Y344" s="189">
        <v>0</v>
      </c>
      <c r="Z344" s="189">
        <f t="shared" si="54"/>
        <v>0</v>
      </c>
    </row>
    <row r="345" spans="1:26" x14ac:dyDescent="0.35">
      <c r="A345" s="176">
        <v>377</v>
      </c>
      <c r="B345" s="177"/>
      <c r="C345" s="178"/>
      <c r="D345" s="178"/>
      <c r="E345" s="178"/>
      <c r="F345" s="179"/>
      <c r="G345" s="179"/>
      <c r="H345" s="206"/>
      <c r="I345" s="179"/>
      <c r="J345" s="179"/>
      <c r="K345" s="179"/>
      <c r="L345" s="202">
        <v>0</v>
      </c>
      <c r="M345" s="200">
        <v>0</v>
      </c>
      <c r="N345" s="24">
        <f t="shared" si="50"/>
        <v>0</v>
      </c>
      <c r="O345" s="196">
        <f>IFERROR(IF(($N$4-VLOOKUP(REGISTRO_MAESTRO_m3!X345,DISTRIBUCION_CONTENEDORES!$A$3:$D$530,2) ) &lt; 0,0,($N$4-VLOOKUP(X345,DISTRIBUCION_CONTENEDORES!$A$3:$D$530,2) ) * (M345/VLOOKUP(X345,DISTRIBUCION_CONTENEDORES!$A$3:$D$530,2))),0) *$N$5</f>
        <v>0</v>
      </c>
      <c r="P345" s="194">
        <f t="shared" si="55"/>
        <v>0</v>
      </c>
      <c r="Q345" s="190">
        <f t="shared" si="56"/>
        <v>0</v>
      </c>
      <c r="R345" s="188">
        <f t="shared" si="51"/>
        <v>0</v>
      </c>
      <c r="S345" s="213">
        <v>0</v>
      </c>
      <c r="T345" s="191">
        <f t="shared" si="52"/>
        <v>0</v>
      </c>
      <c r="U345" s="187">
        <f t="shared" si="57"/>
        <v>0</v>
      </c>
      <c r="V345" s="203">
        <f t="shared" si="53"/>
        <v>0</v>
      </c>
      <c r="W345" s="56">
        <f t="shared" si="58"/>
        <v>0</v>
      </c>
      <c r="X345" s="207">
        <v>0</v>
      </c>
      <c r="Y345" s="189">
        <v>0</v>
      </c>
      <c r="Z345" s="189">
        <f t="shared" si="54"/>
        <v>0</v>
      </c>
    </row>
    <row r="346" spans="1:26" x14ac:dyDescent="0.35">
      <c r="A346" s="176">
        <v>378</v>
      </c>
      <c r="B346" s="177"/>
      <c r="C346" s="178"/>
      <c r="D346" s="178"/>
      <c r="E346" s="178"/>
      <c r="F346" s="179"/>
      <c r="G346" s="179"/>
      <c r="H346" s="206"/>
      <c r="I346" s="179"/>
      <c r="J346" s="179"/>
      <c r="K346" s="179"/>
      <c r="L346" s="202">
        <v>0</v>
      </c>
      <c r="M346" s="200">
        <v>0</v>
      </c>
      <c r="N346" s="24">
        <f t="shared" si="50"/>
        <v>0</v>
      </c>
      <c r="O346" s="196">
        <f>IFERROR(IF(($N$4-VLOOKUP(REGISTRO_MAESTRO_m3!X346,DISTRIBUCION_CONTENEDORES!$A$3:$D$530,2) ) &lt; 0,0,($N$4-VLOOKUP(X346,DISTRIBUCION_CONTENEDORES!$A$3:$D$530,2) ) * (M346/VLOOKUP(X346,DISTRIBUCION_CONTENEDORES!$A$3:$D$530,2))),0) *$N$5</f>
        <v>0</v>
      </c>
      <c r="P346" s="194">
        <f t="shared" si="55"/>
        <v>0</v>
      </c>
      <c r="Q346" s="190">
        <f t="shared" si="56"/>
        <v>0</v>
      </c>
      <c r="R346" s="188">
        <f t="shared" si="51"/>
        <v>0</v>
      </c>
      <c r="S346" s="213">
        <v>0</v>
      </c>
      <c r="T346" s="191">
        <f t="shared" si="52"/>
        <v>0</v>
      </c>
      <c r="U346" s="187">
        <f t="shared" si="57"/>
        <v>0</v>
      </c>
      <c r="V346" s="203">
        <f t="shared" si="53"/>
        <v>0</v>
      </c>
      <c r="W346" s="56">
        <f t="shared" si="58"/>
        <v>0</v>
      </c>
      <c r="X346" s="207">
        <v>0</v>
      </c>
      <c r="Y346" s="189">
        <v>0</v>
      </c>
      <c r="Z346" s="189">
        <f t="shared" si="54"/>
        <v>0</v>
      </c>
    </row>
    <row r="347" spans="1:26" x14ac:dyDescent="0.35">
      <c r="A347" s="176">
        <v>379</v>
      </c>
      <c r="B347" s="177"/>
      <c r="C347" s="178"/>
      <c r="D347" s="178"/>
      <c r="E347" s="178"/>
      <c r="F347" s="179"/>
      <c r="G347" s="179"/>
      <c r="H347" s="206"/>
      <c r="I347" s="179"/>
      <c r="J347" s="179"/>
      <c r="K347" s="179"/>
      <c r="L347" s="202">
        <v>0</v>
      </c>
      <c r="M347" s="200">
        <v>0</v>
      </c>
      <c r="N347" s="24">
        <f t="shared" si="50"/>
        <v>0</v>
      </c>
      <c r="O347" s="196">
        <f>IFERROR(IF(($N$4-VLOOKUP(REGISTRO_MAESTRO_m3!X347,DISTRIBUCION_CONTENEDORES!$A$3:$D$530,2) ) &lt; 0,0,($N$4-VLOOKUP(X347,DISTRIBUCION_CONTENEDORES!$A$3:$D$530,2) ) * (M347/VLOOKUP(X347,DISTRIBUCION_CONTENEDORES!$A$3:$D$530,2))),0) *$N$5</f>
        <v>0</v>
      </c>
      <c r="P347" s="194">
        <f t="shared" si="55"/>
        <v>0</v>
      </c>
      <c r="Q347" s="190">
        <f t="shared" si="56"/>
        <v>0</v>
      </c>
      <c r="R347" s="188">
        <f t="shared" si="51"/>
        <v>0</v>
      </c>
      <c r="S347" s="213">
        <v>0</v>
      </c>
      <c r="T347" s="191">
        <f t="shared" si="52"/>
        <v>0</v>
      </c>
      <c r="U347" s="187">
        <f t="shared" si="57"/>
        <v>0</v>
      </c>
      <c r="V347" s="203">
        <f t="shared" si="53"/>
        <v>0</v>
      </c>
      <c r="W347" s="56">
        <f t="shared" si="58"/>
        <v>0</v>
      </c>
      <c r="X347" s="207">
        <v>0</v>
      </c>
      <c r="Y347" s="189">
        <v>0</v>
      </c>
      <c r="Z347" s="189">
        <f t="shared" si="54"/>
        <v>0</v>
      </c>
    </row>
    <row r="348" spans="1:26" x14ac:dyDescent="0.35">
      <c r="A348" s="176">
        <v>380</v>
      </c>
      <c r="B348" s="177"/>
      <c r="C348" s="178"/>
      <c r="D348" s="178"/>
      <c r="E348" s="178"/>
      <c r="F348" s="179"/>
      <c r="G348" s="179"/>
      <c r="H348" s="206"/>
      <c r="I348" s="179"/>
      <c r="J348" s="179"/>
      <c r="K348" s="179"/>
      <c r="L348" s="202">
        <v>0</v>
      </c>
      <c r="M348" s="200">
        <v>0</v>
      </c>
      <c r="N348" s="24">
        <f t="shared" si="50"/>
        <v>0</v>
      </c>
      <c r="O348" s="196">
        <f>IFERROR(IF(($N$4-VLOOKUP(REGISTRO_MAESTRO_m3!X348,DISTRIBUCION_CONTENEDORES!$A$3:$D$530,2) ) &lt; 0,0,($N$4-VLOOKUP(X348,DISTRIBUCION_CONTENEDORES!$A$3:$D$530,2) ) * (M348/VLOOKUP(X348,DISTRIBUCION_CONTENEDORES!$A$3:$D$530,2))),0) *$N$5</f>
        <v>0</v>
      </c>
      <c r="P348" s="194">
        <f t="shared" si="55"/>
        <v>0</v>
      </c>
      <c r="Q348" s="190">
        <f t="shared" si="56"/>
        <v>0</v>
      </c>
      <c r="R348" s="188">
        <f t="shared" si="51"/>
        <v>0</v>
      </c>
      <c r="S348" s="213">
        <v>0</v>
      </c>
      <c r="T348" s="191">
        <f t="shared" si="52"/>
        <v>0</v>
      </c>
      <c r="U348" s="187">
        <f t="shared" si="57"/>
        <v>0</v>
      </c>
      <c r="V348" s="203">
        <f t="shared" si="53"/>
        <v>0</v>
      </c>
      <c r="W348" s="56">
        <f t="shared" si="58"/>
        <v>0</v>
      </c>
      <c r="X348" s="207">
        <v>0</v>
      </c>
      <c r="Y348" s="189">
        <v>0</v>
      </c>
      <c r="Z348" s="189">
        <f t="shared" si="54"/>
        <v>0</v>
      </c>
    </row>
    <row r="349" spans="1:26" x14ac:dyDescent="0.35">
      <c r="A349" s="176">
        <v>381</v>
      </c>
      <c r="B349" s="177"/>
      <c r="C349" s="178"/>
      <c r="D349" s="178"/>
      <c r="E349" s="178"/>
      <c r="F349" s="179"/>
      <c r="G349" s="179"/>
      <c r="H349" s="206"/>
      <c r="I349" s="179"/>
      <c r="J349" s="179"/>
      <c r="K349" s="179"/>
      <c r="L349" s="202">
        <v>0</v>
      </c>
      <c r="M349" s="200">
        <v>0</v>
      </c>
      <c r="N349" s="24">
        <f t="shared" si="50"/>
        <v>0</v>
      </c>
      <c r="O349" s="196">
        <f>IFERROR(IF(($N$4-VLOOKUP(REGISTRO_MAESTRO_m3!X349,DISTRIBUCION_CONTENEDORES!$A$3:$D$530,2) ) &lt; 0,0,($N$4-VLOOKUP(X349,DISTRIBUCION_CONTENEDORES!$A$3:$D$530,2) ) * (M349/VLOOKUP(X349,DISTRIBUCION_CONTENEDORES!$A$3:$D$530,2))),0) *$N$5</f>
        <v>0</v>
      </c>
      <c r="P349" s="194">
        <f t="shared" si="55"/>
        <v>0</v>
      </c>
      <c r="Q349" s="190">
        <f t="shared" si="56"/>
        <v>0</v>
      </c>
      <c r="R349" s="188">
        <f t="shared" si="51"/>
        <v>0</v>
      </c>
      <c r="S349" s="213">
        <v>0</v>
      </c>
      <c r="T349" s="191">
        <f t="shared" si="52"/>
        <v>0</v>
      </c>
      <c r="U349" s="187">
        <f t="shared" si="57"/>
        <v>0</v>
      </c>
      <c r="V349" s="203">
        <f t="shared" si="53"/>
        <v>0</v>
      </c>
      <c r="W349" s="56">
        <f t="shared" si="58"/>
        <v>0</v>
      </c>
      <c r="X349" s="207">
        <v>0</v>
      </c>
      <c r="Y349" s="189">
        <v>0</v>
      </c>
      <c r="Z349" s="189">
        <f t="shared" si="54"/>
        <v>0</v>
      </c>
    </row>
    <row r="350" spans="1:26" x14ac:dyDescent="0.35">
      <c r="A350" s="176">
        <v>382</v>
      </c>
      <c r="B350" s="177"/>
      <c r="C350" s="178"/>
      <c r="D350" s="178"/>
      <c r="E350" s="178"/>
      <c r="F350" s="179"/>
      <c r="G350" s="179"/>
      <c r="H350" s="206"/>
      <c r="I350" s="179"/>
      <c r="J350" s="179"/>
      <c r="K350" s="179"/>
      <c r="L350" s="202">
        <v>0</v>
      </c>
      <c r="M350" s="200">
        <v>0</v>
      </c>
      <c r="N350" s="24">
        <f t="shared" si="50"/>
        <v>0</v>
      </c>
      <c r="O350" s="196">
        <f>IFERROR(IF(($N$4-VLOOKUP(REGISTRO_MAESTRO_m3!X350,DISTRIBUCION_CONTENEDORES!$A$3:$D$530,2) ) &lt; 0,0,($N$4-VLOOKUP(X350,DISTRIBUCION_CONTENEDORES!$A$3:$D$530,2) ) * (M350/VLOOKUP(X350,DISTRIBUCION_CONTENEDORES!$A$3:$D$530,2))),0) *$N$5</f>
        <v>0</v>
      </c>
      <c r="P350" s="194">
        <f t="shared" si="55"/>
        <v>0</v>
      </c>
      <c r="Q350" s="190">
        <f t="shared" si="56"/>
        <v>0</v>
      </c>
      <c r="R350" s="188">
        <f t="shared" si="51"/>
        <v>0</v>
      </c>
      <c r="S350" s="213">
        <v>0</v>
      </c>
      <c r="T350" s="191">
        <f t="shared" si="52"/>
        <v>0</v>
      </c>
      <c r="U350" s="187">
        <f t="shared" si="57"/>
        <v>0</v>
      </c>
      <c r="V350" s="203">
        <f t="shared" si="53"/>
        <v>0</v>
      </c>
      <c r="W350" s="56">
        <f t="shared" si="58"/>
        <v>0</v>
      </c>
      <c r="X350" s="207">
        <v>0</v>
      </c>
      <c r="Y350" s="189">
        <v>0</v>
      </c>
      <c r="Z350" s="189">
        <f t="shared" si="54"/>
        <v>0</v>
      </c>
    </row>
    <row r="351" spans="1:26" x14ac:dyDescent="0.35">
      <c r="A351" s="176">
        <v>383</v>
      </c>
      <c r="B351" s="177"/>
      <c r="C351" s="178"/>
      <c r="D351" s="178"/>
      <c r="E351" s="178"/>
      <c r="F351" s="179"/>
      <c r="G351" s="179"/>
      <c r="H351" s="206"/>
      <c r="I351" s="179"/>
      <c r="J351" s="179"/>
      <c r="K351" s="179"/>
      <c r="L351" s="202">
        <v>0</v>
      </c>
      <c r="M351" s="200">
        <v>0</v>
      </c>
      <c r="N351" s="24">
        <f t="shared" si="50"/>
        <v>0</v>
      </c>
      <c r="O351" s="196">
        <f>IFERROR(IF(($N$4-VLOOKUP(REGISTRO_MAESTRO_m3!X351,DISTRIBUCION_CONTENEDORES!$A$3:$D$530,2) ) &lt; 0,0,($N$4-VLOOKUP(X351,DISTRIBUCION_CONTENEDORES!$A$3:$D$530,2) ) * (M351/VLOOKUP(X351,DISTRIBUCION_CONTENEDORES!$A$3:$D$530,2))),0) *$N$5</f>
        <v>0</v>
      </c>
      <c r="P351" s="194">
        <f t="shared" si="55"/>
        <v>0</v>
      </c>
      <c r="Q351" s="190">
        <f t="shared" si="56"/>
        <v>0</v>
      </c>
      <c r="R351" s="188">
        <f t="shared" si="51"/>
        <v>0</v>
      </c>
      <c r="S351" s="213">
        <v>0</v>
      </c>
      <c r="T351" s="191">
        <f t="shared" si="52"/>
        <v>0</v>
      </c>
      <c r="U351" s="187">
        <f t="shared" si="57"/>
        <v>0</v>
      </c>
      <c r="V351" s="203">
        <f t="shared" si="53"/>
        <v>0</v>
      </c>
      <c r="W351" s="56">
        <f t="shared" si="58"/>
        <v>0</v>
      </c>
      <c r="X351" s="207">
        <v>0</v>
      </c>
      <c r="Y351" s="189">
        <v>0</v>
      </c>
      <c r="Z351" s="189">
        <f t="shared" si="54"/>
        <v>0</v>
      </c>
    </row>
    <row r="352" spans="1:26" x14ac:dyDescent="0.35">
      <c r="A352" s="176">
        <v>384</v>
      </c>
      <c r="B352" s="177"/>
      <c r="C352" s="178"/>
      <c r="D352" s="178"/>
      <c r="E352" s="178"/>
      <c r="F352" s="179"/>
      <c r="G352" s="179"/>
      <c r="H352" s="206"/>
      <c r="I352" s="179"/>
      <c r="J352" s="179"/>
      <c r="K352" s="179"/>
      <c r="L352" s="202">
        <v>0</v>
      </c>
      <c r="M352" s="200">
        <v>0</v>
      </c>
      <c r="N352" s="24">
        <f t="shared" si="50"/>
        <v>0</v>
      </c>
      <c r="O352" s="196">
        <f>IFERROR(IF(($N$4-VLOOKUP(REGISTRO_MAESTRO_m3!X352,DISTRIBUCION_CONTENEDORES!$A$3:$D$530,2) ) &lt; 0,0,($N$4-VLOOKUP(X352,DISTRIBUCION_CONTENEDORES!$A$3:$D$530,2) ) * (M352/VLOOKUP(X352,DISTRIBUCION_CONTENEDORES!$A$3:$D$530,2))),0) *$N$5</f>
        <v>0</v>
      </c>
      <c r="P352" s="194">
        <f t="shared" si="55"/>
        <v>0</v>
      </c>
      <c r="Q352" s="190">
        <f t="shared" si="56"/>
        <v>0</v>
      </c>
      <c r="R352" s="188">
        <f t="shared" si="51"/>
        <v>0</v>
      </c>
      <c r="S352" s="213">
        <v>0</v>
      </c>
      <c r="T352" s="191">
        <f t="shared" si="52"/>
        <v>0</v>
      </c>
      <c r="U352" s="187">
        <f t="shared" si="57"/>
        <v>0</v>
      </c>
      <c r="V352" s="203">
        <f t="shared" si="53"/>
        <v>0</v>
      </c>
      <c r="W352" s="56">
        <f t="shared" si="58"/>
        <v>0</v>
      </c>
      <c r="X352" s="207">
        <v>0</v>
      </c>
      <c r="Y352" s="189">
        <v>0</v>
      </c>
      <c r="Z352" s="189">
        <f t="shared" si="54"/>
        <v>0</v>
      </c>
    </row>
    <row r="353" spans="1:26" x14ac:dyDescent="0.35">
      <c r="A353" s="176">
        <v>385</v>
      </c>
      <c r="B353" s="177"/>
      <c r="C353" s="178"/>
      <c r="D353" s="178"/>
      <c r="E353" s="178"/>
      <c r="F353" s="179"/>
      <c r="G353" s="179"/>
      <c r="H353" s="206"/>
      <c r="I353" s="179"/>
      <c r="J353" s="179"/>
      <c r="K353" s="179"/>
      <c r="L353" s="202">
        <v>0</v>
      </c>
      <c r="M353" s="200">
        <v>0</v>
      </c>
      <c r="N353" s="24">
        <f t="shared" si="50"/>
        <v>0</v>
      </c>
      <c r="O353" s="196">
        <f>IFERROR(IF(($N$4-VLOOKUP(REGISTRO_MAESTRO_m3!X353,DISTRIBUCION_CONTENEDORES!$A$3:$D$530,2) ) &lt; 0,0,($N$4-VLOOKUP(X353,DISTRIBUCION_CONTENEDORES!$A$3:$D$530,2) ) * (M353/VLOOKUP(X353,DISTRIBUCION_CONTENEDORES!$A$3:$D$530,2))),0) *$N$5</f>
        <v>0</v>
      </c>
      <c r="P353" s="194">
        <f t="shared" si="55"/>
        <v>0</v>
      </c>
      <c r="Q353" s="190">
        <f t="shared" si="56"/>
        <v>0</v>
      </c>
      <c r="R353" s="188">
        <f t="shared" si="51"/>
        <v>0</v>
      </c>
      <c r="S353" s="213">
        <v>0</v>
      </c>
      <c r="T353" s="191">
        <f t="shared" si="52"/>
        <v>0</v>
      </c>
      <c r="U353" s="187">
        <f t="shared" si="57"/>
        <v>0</v>
      </c>
      <c r="V353" s="203">
        <f t="shared" si="53"/>
        <v>0</v>
      </c>
      <c r="W353" s="56">
        <f t="shared" si="58"/>
        <v>0</v>
      </c>
      <c r="X353" s="207">
        <v>0</v>
      </c>
      <c r="Y353" s="189">
        <v>0</v>
      </c>
      <c r="Z353" s="189">
        <f t="shared" si="54"/>
        <v>0</v>
      </c>
    </row>
    <row r="354" spans="1:26" x14ac:dyDescent="0.35">
      <c r="A354" s="176">
        <v>386</v>
      </c>
      <c r="B354" s="177"/>
      <c r="C354" s="178"/>
      <c r="D354" s="178"/>
      <c r="E354" s="178"/>
      <c r="F354" s="179"/>
      <c r="G354" s="179"/>
      <c r="H354" s="206"/>
      <c r="I354" s="179"/>
      <c r="J354" s="179"/>
      <c r="K354" s="179"/>
      <c r="L354" s="202">
        <v>0</v>
      </c>
      <c r="M354" s="200">
        <v>0</v>
      </c>
      <c r="N354" s="24">
        <f t="shared" si="50"/>
        <v>0</v>
      </c>
      <c r="O354" s="196">
        <f>IFERROR(IF(($N$4-VLOOKUP(REGISTRO_MAESTRO_m3!X354,DISTRIBUCION_CONTENEDORES!$A$3:$D$530,2) ) &lt; 0,0,($N$4-VLOOKUP(X354,DISTRIBUCION_CONTENEDORES!$A$3:$D$530,2) ) * (M354/VLOOKUP(X354,DISTRIBUCION_CONTENEDORES!$A$3:$D$530,2))),0) *$N$5</f>
        <v>0</v>
      </c>
      <c r="P354" s="194">
        <f t="shared" si="55"/>
        <v>0</v>
      </c>
      <c r="Q354" s="190">
        <f t="shared" si="56"/>
        <v>0</v>
      </c>
      <c r="R354" s="188">
        <f t="shared" si="51"/>
        <v>0</v>
      </c>
      <c r="S354" s="213">
        <v>0</v>
      </c>
      <c r="T354" s="191">
        <f t="shared" si="52"/>
        <v>0</v>
      </c>
      <c r="U354" s="187">
        <f t="shared" si="57"/>
        <v>0</v>
      </c>
      <c r="V354" s="203">
        <f t="shared" si="53"/>
        <v>0</v>
      </c>
      <c r="W354" s="56">
        <f t="shared" si="58"/>
        <v>0</v>
      </c>
      <c r="X354" s="207">
        <v>0</v>
      </c>
      <c r="Y354" s="189">
        <v>0</v>
      </c>
      <c r="Z354" s="189">
        <f t="shared" si="54"/>
        <v>0</v>
      </c>
    </row>
    <row r="355" spans="1:26" x14ac:dyDescent="0.35">
      <c r="A355" s="176">
        <v>387</v>
      </c>
      <c r="B355" s="177"/>
      <c r="C355" s="178"/>
      <c r="D355" s="178"/>
      <c r="E355" s="178"/>
      <c r="F355" s="179"/>
      <c r="G355" s="179"/>
      <c r="H355" s="206"/>
      <c r="I355" s="179"/>
      <c r="J355" s="179"/>
      <c r="K355" s="179"/>
      <c r="L355" s="202">
        <v>0</v>
      </c>
      <c r="M355" s="200">
        <v>0</v>
      </c>
      <c r="N355" s="24">
        <f t="shared" ref="N355:N418" si="59">PRODUCT(M355,$N$5)</f>
        <v>0</v>
      </c>
      <c r="O355" s="196">
        <f>IFERROR(IF(($N$4-VLOOKUP(REGISTRO_MAESTRO_m3!X355,DISTRIBUCION_CONTENEDORES!$A$3:$D$530,2) ) &lt; 0,0,($N$4-VLOOKUP(X355,DISTRIBUCION_CONTENEDORES!$A$3:$D$530,2) ) * (M355/VLOOKUP(X355,DISTRIBUCION_CONTENEDORES!$A$3:$D$530,2))),0) *$N$5</f>
        <v>0</v>
      </c>
      <c r="P355" s="194">
        <f t="shared" si="55"/>
        <v>0</v>
      </c>
      <c r="Q355" s="190">
        <f t="shared" si="56"/>
        <v>0</v>
      </c>
      <c r="R355" s="188">
        <f t="shared" ref="R355:R418" si="60">IFERROR(S355/$N$5,0)</f>
        <v>0</v>
      </c>
      <c r="S355" s="213">
        <v>0</v>
      </c>
      <c r="T355" s="191">
        <f t="shared" ref="T355:T418" si="61">U355/$N$5</f>
        <v>0</v>
      </c>
      <c r="U355" s="187">
        <f t="shared" si="57"/>
        <v>0</v>
      </c>
      <c r="V355" s="203">
        <f t="shared" ref="V355:V418" si="62">U355/$N$6</f>
        <v>0</v>
      </c>
      <c r="W355" s="56">
        <f t="shared" si="58"/>
        <v>0</v>
      </c>
      <c r="X355" s="207">
        <v>0</v>
      </c>
      <c r="Y355" s="189">
        <v>0</v>
      </c>
      <c r="Z355" s="189">
        <f t="shared" ref="Z355:Z418" si="63">Y355*4.75*668</f>
        <v>0</v>
      </c>
    </row>
    <row r="356" spans="1:26" x14ac:dyDescent="0.35">
      <c r="A356" s="176">
        <v>388</v>
      </c>
      <c r="B356" s="177"/>
      <c r="C356" s="178"/>
      <c r="D356" s="178"/>
      <c r="E356" s="178"/>
      <c r="F356" s="179"/>
      <c r="G356" s="179"/>
      <c r="H356" s="206"/>
      <c r="I356" s="179"/>
      <c r="J356" s="179"/>
      <c r="K356" s="179"/>
      <c r="L356" s="202">
        <v>0</v>
      </c>
      <c r="M356" s="200">
        <v>0</v>
      </c>
      <c r="N356" s="24">
        <f t="shared" si="59"/>
        <v>0</v>
      </c>
      <c r="O356" s="196">
        <f>IFERROR(IF(($N$4-VLOOKUP(REGISTRO_MAESTRO_m3!X356,DISTRIBUCION_CONTENEDORES!$A$3:$D$530,2) ) &lt; 0,0,($N$4-VLOOKUP(X356,DISTRIBUCION_CONTENEDORES!$A$3:$D$530,2) ) * (M356/VLOOKUP(X356,DISTRIBUCION_CONTENEDORES!$A$3:$D$530,2))),0) *$N$5</f>
        <v>0</v>
      </c>
      <c r="P356" s="194">
        <f t="shared" si="55"/>
        <v>0</v>
      </c>
      <c r="Q356" s="190">
        <f t="shared" si="56"/>
        <v>0</v>
      </c>
      <c r="R356" s="188">
        <f t="shared" si="60"/>
        <v>0</v>
      </c>
      <c r="S356" s="213">
        <v>0</v>
      </c>
      <c r="T356" s="191">
        <f t="shared" si="61"/>
        <v>0</v>
      </c>
      <c r="U356" s="187">
        <f t="shared" si="57"/>
        <v>0</v>
      </c>
      <c r="V356" s="203">
        <f t="shared" si="62"/>
        <v>0</v>
      </c>
      <c r="W356" s="56">
        <f t="shared" si="58"/>
        <v>0</v>
      </c>
      <c r="X356" s="207">
        <v>0</v>
      </c>
      <c r="Y356" s="189">
        <v>0</v>
      </c>
      <c r="Z356" s="189">
        <f t="shared" si="63"/>
        <v>0</v>
      </c>
    </row>
    <row r="357" spans="1:26" x14ac:dyDescent="0.35">
      <c r="A357" s="176">
        <v>389</v>
      </c>
      <c r="B357" s="177"/>
      <c r="C357" s="178"/>
      <c r="D357" s="178"/>
      <c r="E357" s="178"/>
      <c r="F357" s="179"/>
      <c r="G357" s="179"/>
      <c r="H357" s="206"/>
      <c r="I357" s="179"/>
      <c r="J357" s="179"/>
      <c r="K357" s="179"/>
      <c r="L357" s="202">
        <v>0</v>
      </c>
      <c r="M357" s="200">
        <v>0</v>
      </c>
      <c r="N357" s="24">
        <f t="shared" si="59"/>
        <v>0</v>
      </c>
      <c r="O357" s="196">
        <f>IFERROR(IF(($N$4-VLOOKUP(REGISTRO_MAESTRO_m3!X357,DISTRIBUCION_CONTENEDORES!$A$3:$D$530,2) ) &lt; 0,0,($N$4-VLOOKUP(X357,DISTRIBUCION_CONTENEDORES!$A$3:$D$530,2) ) * (M357/VLOOKUP(X357,DISTRIBUCION_CONTENEDORES!$A$3:$D$530,2))),0) *$N$5</f>
        <v>0</v>
      </c>
      <c r="P357" s="194">
        <f t="shared" si="55"/>
        <v>0</v>
      </c>
      <c r="Q357" s="190">
        <f t="shared" si="56"/>
        <v>0</v>
      </c>
      <c r="R357" s="188">
        <f t="shared" si="60"/>
        <v>0</v>
      </c>
      <c r="S357" s="213">
        <v>0</v>
      </c>
      <c r="T357" s="191">
        <f t="shared" si="61"/>
        <v>0</v>
      </c>
      <c r="U357" s="187">
        <f t="shared" si="57"/>
        <v>0</v>
      </c>
      <c r="V357" s="203">
        <f t="shared" si="62"/>
        <v>0</v>
      </c>
      <c r="W357" s="56">
        <f t="shared" si="58"/>
        <v>0</v>
      </c>
      <c r="X357" s="207">
        <v>0</v>
      </c>
      <c r="Y357" s="189">
        <v>0</v>
      </c>
      <c r="Z357" s="189">
        <f t="shared" si="63"/>
        <v>0</v>
      </c>
    </row>
    <row r="358" spans="1:26" x14ac:dyDescent="0.35">
      <c r="A358" s="176">
        <v>390</v>
      </c>
      <c r="B358" s="177"/>
      <c r="C358" s="178"/>
      <c r="D358" s="178"/>
      <c r="E358" s="178"/>
      <c r="F358" s="179"/>
      <c r="G358" s="179"/>
      <c r="H358" s="206"/>
      <c r="I358" s="179"/>
      <c r="J358" s="179"/>
      <c r="K358" s="179"/>
      <c r="L358" s="202">
        <v>0</v>
      </c>
      <c r="M358" s="200">
        <v>0</v>
      </c>
      <c r="N358" s="24">
        <f t="shared" si="59"/>
        <v>0</v>
      </c>
      <c r="O358" s="196">
        <f>IFERROR(IF(($N$4-VLOOKUP(REGISTRO_MAESTRO_m3!X358,DISTRIBUCION_CONTENEDORES!$A$3:$D$530,2) ) &lt; 0,0,($N$4-VLOOKUP(X358,DISTRIBUCION_CONTENEDORES!$A$3:$D$530,2) ) * (M358/VLOOKUP(X358,DISTRIBUCION_CONTENEDORES!$A$3:$D$530,2))),0) *$N$5</f>
        <v>0</v>
      </c>
      <c r="P358" s="194">
        <f t="shared" si="55"/>
        <v>0</v>
      </c>
      <c r="Q358" s="190">
        <f t="shared" si="56"/>
        <v>0</v>
      </c>
      <c r="R358" s="188">
        <f t="shared" si="60"/>
        <v>0</v>
      </c>
      <c r="S358" s="213">
        <v>0</v>
      </c>
      <c r="T358" s="191">
        <f t="shared" si="61"/>
        <v>0</v>
      </c>
      <c r="U358" s="187">
        <f t="shared" si="57"/>
        <v>0</v>
      </c>
      <c r="V358" s="203">
        <f t="shared" si="62"/>
        <v>0</v>
      </c>
      <c r="W358" s="56">
        <f t="shared" si="58"/>
        <v>0</v>
      </c>
      <c r="X358" s="207">
        <v>0</v>
      </c>
      <c r="Y358" s="189">
        <v>0</v>
      </c>
      <c r="Z358" s="189">
        <f t="shared" si="63"/>
        <v>0</v>
      </c>
    </row>
    <row r="359" spans="1:26" x14ac:dyDescent="0.35">
      <c r="A359" s="176">
        <v>391</v>
      </c>
      <c r="B359" s="177"/>
      <c r="C359" s="178"/>
      <c r="D359" s="178"/>
      <c r="E359" s="178"/>
      <c r="F359" s="179"/>
      <c r="G359" s="179"/>
      <c r="H359" s="206"/>
      <c r="I359" s="179"/>
      <c r="J359" s="179"/>
      <c r="K359" s="179"/>
      <c r="L359" s="202">
        <v>0</v>
      </c>
      <c r="M359" s="200">
        <v>0</v>
      </c>
      <c r="N359" s="24">
        <f t="shared" si="59"/>
        <v>0</v>
      </c>
      <c r="O359" s="196">
        <f>IFERROR(IF(($N$4-VLOOKUP(REGISTRO_MAESTRO_m3!X359,DISTRIBUCION_CONTENEDORES!$A$3:$D$530,2) ) &lt; 0,0,($N$4-VLOOKUP(X359,DISTRIBUCION_CONTENEDORES!$A$3:$D$530,2) ) * (M359/VLOOKUP(X359,DISTRIBUCION_CONTENEDORES!$A$3:$D$530,2))),0) *$N$5</f>
        <v>0</v>
      </c>
      <c r="P359" s="194">
        <f t="shared" si="55"/>
        <v>0</v>
      </c>
      <c r="Q359" s="190">
        <f t="shared" si="56"/>
        <v>0</v>
      </c>
      <c r="R359" s="188">
        <f t="shared" si="60"/>
        <v>0</v>
      </c>
      <c r="S359" s="213">
        <v>0</v>
      </c>
      <c r="T359" s="191">
        <f t="shared" si="61"/>
        <v>0</v>
      </c>
      <c r="U359" s="187">
        <f t="shared" si="57"/>
        <v>0</v>
      </c>
      <c r="V359" s="203">
        <f t="shared" si="62"/>
        <v>0</v>
      </c>
      <c r="W359" s="56">
        <f t="shared" si="58"/>
        <v>0</v>
      </c>
      <c r="X359" s="207">
        <v>0</v>
      </c>
      <c r="Y359" s="189">
        <v>0</v>
      </c>
      <c r="Z359" s="189">
        <f t="shared" si="63"/>
        <v>0</v>
      </c>
    </row>
    <row r="360" spans="1:26" x14ac:dyDescent="0.35">
      <c r="A360" s="176">
        <v>392</v>
      </c>
      <c r="B360" s="177"/>
      <c r="C360" s="178"/>
      <c r="D360" s="178"/>
      <c r="E360" s="178"/>
      <c r="F360" s="179"/>
      <c r="G360" s="179"/>
      <c r="H360" s="206"/>
      <c r="I360" s="179"/>
      <c r="J360" s="179"/>
      <c r="K360" s="179"/>
      <c r="L360" s="202">
        <v>0</v>
      </c>
      <c r="M360" s="200">
        <v>0</v>
      </c>
      <c r="N360" s="24">
        <f t="shared" si="59"/>
        <v>0</v>
      </c>
      <c r="O360" s="196">
        <f>IFERROR(IF(($N$4-VLOOKUP(REGISTRO_MAESTRO_m3!X360,DISTRIBUCION_CONTENEDORES!$A$3:$D$530,2) ) &lt; 0,0,($N$4-VLOOKUP(X360,DISTRIBUCION_CONTENEDORES!$A$3:$D$530,2) ) * (M360/VLOOKUP(X360,DISTRIBUCION_CONTENEDORES!$A$3:$D$530,2))),0) *$N$5</f>
        <v>0</v>
      </c>
      <c r="P360" s="194">
        <f t="shared" si="55"/>
        <v>0</v>
      </c>
      <c r="Q360" s="190">
        <f t="shared" si="56"/>
        <v>0</v>
      </c>
      <c r="R360" s="188">
        <f t="shared" si="60"/>
        <v>0</v>
      </c>
      <c r="S360" s="213">
        <v>0</v>
      </c>
      <c r="T360" s="191">
        <f t="shared" si="61"/>
        <v>0</v>
      </c>
      <c r="U360" s="187">
        <f t="shared" si="57"/>
        <v>0</v>
      </c>
      <c r="V360" s="203">
        <f t="shared" si="62"/>
        <v>0</v>
      </c>
      <c r="W360" s="56">
        <f t="shared" si="58"/>
        <v>0</v>
      </c>
      <c r="X360" s="207">
        <v>0</v>
      </c>
      <c r="Y360" s="189">
        <v>0</v>
      </c>
      <c r="Z360" s="189">
        <f t="shared" si="63"/>
        <v>0</v>
      </c>
    </row>
    <row r="361" spans="1:26" x14ac:dyDescent="0.35">
      <c r="A361" s="176">
        <v>393</v>
      </c>
      <c r="B361" s="177"/>
      <c r="C361" s="178"/>
      <c r="D361" s="178"/>
      <c r="E361" s="178"/>
      <c r="F361" s="179"/>
      <c r="G361" s="179"/>
      <c r="H361" s="206"/>
      <c r="I361" s="179"/>
      <c r="J361" s="179"/>
      <c r="K361" s="179"/>
      <c r="L361" s="202">
        <v>0</v>
      </c>
      <c r="M361" s="200">
        <v>0</v>
      </c>
      <c r="N361" s="24">
        <f t="shared" si="59"/>
        <v>0</v>
      </c>
      <c r="O361" s="196">
        <f>IFERROR(IF(($N$4-VLOOKUP(REGISTRO_MAESTRO_m3!X361,DISTRIBUCION_CONTENEDORES!$A$3:$D$530,2) ) &lt; 0,0,($N$4-VLOOKUP(X361,DISTRIBUCION_CONTENEDORES!$A$3:$D$530,2) ) * (M361/VLOOKUP(X361,DISTRIBUCION_CONTENEDORES!$A$3:$D$530,2))),0) *$N$5</f>
        <v>0</v>
      </c>
      <c r="P361" s="194">
        <f t="shared" si="55"/>
        <v>0</v>
      </c>
      <c r="Q361" s="190">
        <f t="shared" si="56"/>
        <v>0</v>
      </c>
      <c r="R361" s="188">
        <f t="shared" si="60"/>
        <v>0</v>
      </c>
      <c r="S361" s="213">
        <v>0</v>
      </c>
      <c r="T361" s="191">
        <f t="shared" si="61"/>
        <v>0</v>
      </c>
      <c r="U361" s="187">
        <f t="shared" si="57"/>
        <v>0</v>
      </c>
      <c r="V361" s="203">
        <f t="shared" si="62"/>
        <v>0</v>
      </c>
      <c r="W361" s="56">
        <f t="shared" si="58"/>
        <v>0</v>
      </c>
      <c r="X361" s="207">
        <v>0</v>
      </c>
      <c r="Y361" s="189">
        <v>0</v>
      </c>
      <c r="Z361" s="189">
        <f t="shared" si="63"/>
        <v>0</v>
      </c>
    </row>
    <row r="362" spans="1:26" x14ac:dyDescent="0.35">
      <c r="A362" s="176">
        <v>394</v>
      </c>
      <c r="B362" s="177"/>
      <c r="C362" s="178"/>
      <c r="D362" s="178"/>
      <c r="E362" s="178"/>
      <c r="F362" s="179"/>
      <c r="G362" s="179"/>
      <c r="H362" s="206"/>
      <c r="I362" s="179"/>
      <c r="J362" s="179"/>
      <c r="K362" s="179"/>
      <c r="L362" s="202">
        <v>0</v>
      </c>
      <c r="M362" s="200">
        <v>0</v>
      </c>
      <c r="N362" s="24">
        <f t="shared" si="59"/>
        <v>0</v>
      </c>
      <c r="O362" s="196">
        <f>IFERROR(IF(($N$4-VLOOKUP(REGISTRO_MAESTRO_m3!X362,DISTRIBUCION_CONTENEDORES!$A$3:$D$530,2) ) &lt; 0,0,($N$4-VLOOKUP(X362,DISTRIBUCION_CONTENEDORES!$A$3:$D$530,2) ) * (M362/VLOOKUP(X362,DISTRIBUCION_CONTENEDORES!$A$3:$D$530,2))),0) *$N$5</f>
        <v>0</v>
      </c>
      <c r="P362" s="194">
        <f t="shared" si="55"/>
        <v>0</v>
      </c>
      <c r="Q362" s="190">
        <f t="shared" si="56"/>
        <v>0</v>
      </c>
      <c r="R362" s="188">
        <f t="shared" si="60"/>
        <v>0</v>
      </c>
      <c r="S362" s="213">
        <v>0</v>
      </c>
      <c r="T362" s="191">
        <f t="shared" si="61"/>
        <v>0</v>
      </c>
      <c r="U362" s="187">
        <f t="shared" si="57"/>
        <v>0</v>
      </c>
      <c r="V362" s="203">
        <f t="shared" si="62"/>
        <v>0</v>
      </c>
      <c r="W362" s="56">
        <f t="shared" si="58"/>
        <v>0</v>
      </c>
      <c r="X362" s="207">
        <v>0</v>
      </c>
      <c r="Y362" s="189">
        <v>0</v>
      </c>
      <c r="Z362" s="189">
        <f t="shared" si="63"/>
        <v>0</v>
      </c>
    </row>
    <row r="363" spans="1:26" x14ac:dyDescent="0.35">
      <c r="A363" s="176">
        <v>395</v>
      </c>
      <c r="B363" s="177"/>
      <c r="C363" s="178"/>
      <c r="D363" s="178"/>
      <c r="E363" s="178"/>
      <c r="F363" s="179"/>
      <c r="G363" s="179"/>
      <c r="H363" s="206"/>
      <c r="I363" s="179"/>
      <c r="J363" s="179"/>
      <c r="K363" s="179"/>
      <c r="L363" s="202">
        <v>0</v>
      </c>
      <c r="M363" s="200">
        <v>0</v>
      </c>
      <c r="N363" s="24">
        <f t="shared" si="59"/>
        <v>0</v>
      </c>
      <c r="O363" s="196">
        <f>IFERROR(IF(($N$4-VLOOKUP(REGISTRO_MAESTRO_m3!X363,DISTRIBUCION_CONTENEDORES!$A$3:$D$530,2) ) &lt; 0,0,($N$4-VLOOKUP(X363,DISTRIBUCION_CONTENEDORES!$A$3:$D$530,2) ) * (M363/VLOOKUP(X363,DISTRIBUCION_CONTENEDORES!$A$3:$D$530,2))),0) *$N$5</f>
        <v>0</v>
      </c>
      <c r="P363" s="194">
        <f t="shared" si="55"/>
        <v>0</v>
      </c>
      <c r="Q363" s="190">
        <f t="shared" si="56"/>
        <v>0</v>
      </c>
      <c r="R363" s="188">
        <f t="shared" si="60"/>
        <v>0</v>
      </c>
      <c r="S363" s="213">
        <v>0</v>
      </c>
      <c r="T363" s="191">
        <f t="shared" si="61"/>
        <v>0</v>
      </c>
      <c r="U363" s="187">
        <f t="shared" si="57"/>
        <v>0</v>
      </c>
      <c r="V363" s="203">
        <f t="shared" si="62"/>
        <v>0</v>
      </c>
      <c r="W363" s="56">
        <f t="shared" si="58"/>
        <v>0</v>
      </c>
      <c r="X363" s="207">
        <v>0</v>
      </c>
      <c r="Y363" s="189">
        <v>0</v>
      </c>
      <c r="Z363" s="189">
        <f t="shared" si="63"/>
        <v>0</v>
      </c>
    </row>
    <row r="364" spans="1:26" x14ac:dyDescent="0.35">
      <c r="A364" s="176">
        <v>396</v>
      </c>
      <c r="B364" s="177"/>
      <c r="C364" s="178"/>
      <c r="D364" s="178"/>
      <c r="E364" s="178"/>
      <c r="F364" s="179"/>
      <c r="G364" s="179"/>
      <c r="H364" s="206"/>
      <c r="I364" s="179"/>
      <c r="J364" s="179"/>
      <c r="K364" s="179"/>
      <c r="L364" s="202">
        <v>0</v>
      </c>
      <c r="M364" s="200">
        <v>0</v>
      </c>
      <c r="N364" s="24">
        <f t="shared" si="59"/>
        <v>0</v>
      </c>
      <c r="O364" s="196">
        <f>IFERROR(IF(($N$4-VLOOKUP(REGISTRO_MAESTRO_m3!X364,DISTRIBUCION_CONTENEDORES!$A$3:$D$530,2) ) &lt; 0,0,($N$4-VLOOKUP(X364,DISTRIBUCION_CONTENEDORES!$A$3:$D$530,2) ) * (M364/VLOOKUP(X364,DISTRIBUCION_CONTENEDORES!$A$3:$D$530,2))),0) *$N$5</f>
        <v>0</v>
      </c>
      <c r="P364" s="194">
        <f t="shared" si="55"/>
        <v>0</v>
      </c>
      <c r="Q364" s="190">
        <f t="shared" si="56"/>
        <v>0</v>
      </c>
      <c r="R364" s="188">
        <f t="shared" si="60"/>
        <v>0</v>
      </c>
      <c r="S364" s="213">
        <v>0</v>
      </c>
      <c r="T364" s="191">
        <f t="shared" si="61"/>
        <v>0</v>
      </c>
      <c r="U364" s="187">
        <f t="shared" si="57"/>
        <v>0</v>
      </c>
      <c r="V364" s="203">
        <f t="shared" si="62"/>
        <v>0</v>
      </c>
      <c r="W364" s="56">
        <f t="shared" si="58"/>
        <v>0</v>
      </c>
      <c r="X364" s="207">
        <v>0</v>
      </c>
      <c r="Y364" s="189">
        <v>0</v>
      </c>
      <c r="Z364" s="189">
        <f t="shared" si="63"/>
        <v>0</v>
      </c>
    </row>
    <row r="365" spans="1:26" x14ac:dyDescent="0.35">
      <c r="A365" s="176">
        <v>397</v>
      </c>
      <c r="B365" s="177"/>
      <c r="C365" s="178"/>
      <c r="D365" s="178"/>
      <c r="E365" s="178"/>
      <c r="F365" s="179"/>
      <c r="G365" s="179"/>
      <c r="H365" s="206"/>
      <c r="I365" s="179"/>
      <c r="J365" s="179"/>
      <c r="K365" s="179"/>
      <c r="L365" s="202">
        <v>0</v>
      </c>
      <c r="M365" s="200">
        <v>0</v>
      </c>
      <c r="N365" s="24">
        <f t="shared" si="59"/>
        <v>0</v>
      </c>
      <c r="O365" s="196">
        <f>IFERROR(IF(($N$4-VLOOKUP(REGISTRO_MAESTRO_m3!X365,DISTRIBUCION_CONTENEDORES!$A$3:$D$530,2) ) &lt; 0,0,($N$4-VLOOKUP(X365,DISTRIBUCION_CONTENEDORES!$A$3:$D$530,2) ) * (M365/VLOOKUP(X365,DISTRIBUCION_CONTENEDORES!$A$3:$D$530,2))),0) *$N$5</f>
        <v>0</v>
      </c>
      <c r="P365" s="194">
        <f t="shared" si="55"/>
        <v>0</v>
      </c>
      <c r="Q365" s="190">
        <f t="shared" si="56"/>
        <v>0</v>
      </c>
      <c r="R365" s="188">
        <f t="shared" si="60"/>
        <v>0</v>
      </c>
      <c r="S365" s="213">
        <v>0</v>
      </c>
      <c r="T365" s="191">
        <f t="shared" si="61"/>
        <v>0</v>
      </c>
      <c r="U365" s="187">
        <f t="shared" si="57"/>
        <v>0</v>
      </c>
      <c r="V365" s="203">
        <f t="shared" si="62"/>
        <v>0</v>
      </c>
      <c r="W365" s="56">
        <f t="shared" si="58"/>
        <v>0</v>
      </c>
      <c r="X365" s="207">
        <v>0</v>
      </c>
      <c r="Y365" s="189">
        <v>0</v>
      </c>
      <c r="Z365" s="189">
        <f t="shared" si="63"/>
        <v>0</v>
      </c>
    </row>
    <row r="366" spans="1:26" x14ac:dyDescent="0.35">
      <c r="A366" s="176">
        <v>398</v>
      </c>
      <c r="B366" s="177"/>
      <c r="C366" s="178"/>
      <c r="D366" s="178"/>
      <c r="E366" s="178"/>
      <c r="F366" s="179"/>
      <c r="G366" s="179"/>
      <c r="H366" s="206"/>
      <c r="I366" s="179"/>
      <c r="J366" s="179"/>
      <c r="K366" s="179"/>
      <c r="L366" s="202">
        <v>0</v>
      </c>
      <c r="M366" s="200">
        <v>0</v>
      </c>
      <c r="N366" s="24">
        <f t="shared" si="59"/>
        <v>0</v>
      </c>
      <c r="O366" s="196">
        <f>IFERROR(IF(($N$4-VLOOKUP(REGISTRO_MAESTRO_m3!X366,DISTRIBUCION_CONTENEDORES!$A$3:$D$530,2) ) &lt; 0,0,($N$4-VLOOKUP(X366,DISTRIBUCION_CONTENEDORES!$A$3:$D$530,2) ) * (M366/VLOOKUP(X366,DISTRIBUCION_CONTENEDORES!$A$3:$D$530,2))),0) *$N$5</f>
        <v>0</v>
      </c>
      <c r="P366" s="194">
        <f t="shared" si="55"/>
        <v>0</v>
      </c>
      <c r="Q366" s="190">
        <f t="shared" si="56"/>
        <v>0</v>
      </c>
      <c r="R366" s="188">
        <f t="shared" si="60"/>
        <v>0</v>
      </c>
      <c r="S366" s="213">
        <v>0</v>
      </c>
      <c r="T366" s="191">
        <f t="shared" si="61"/>
        <v>0</v>
      </c>
      <c r="U366" s="187">
        <f t="shared" si="57"/>
        <v>0</v>
      </c>
      <c r="V366" s="203">
        <f t="shared" si="62"/>
        <v>0</v>
      </c>
      <c r="W366" s="56">
        <f t="shared" si="58"/>
        <v>0</v>
      </c>
      <c r="X366" s="207">
        <v>0</v>
      </c>
      <c r="Y366" s="189">
        <v>0</v>
      </c>
      <c r="Z366" s="189">
        <f t="shared" si="63"/>
        <v>0</v>
      </c>
    </row>
    <row r="367" spans="1:26" x14ac:dyDescent="0.35">
      <c r="A367" s="176">
        <v>399</v>
      </c>
      <c r="B367" s="177"/>
      <c r="C367" s="178"/>
      <c r="D367" s="178"/>
      <c r="E367" s="178"/>
      <c r="F367" s="179"/>
      <c r="G367" s="179"/>
      <c r="H367" s="206"/>
      <c r="I367" s="179"/>
      <c r="J367" s="179"/>
      <c r="K367" s="179"/>
      <c r="L367" s="202">
        <v>0</v>
      </c>
      <c r="M367" s="200">
        <v>0</v>
      </c>
      <c r="N367" s="24">
        <f t="shared" si="59"/>
        <v>0</v>
      </c>
      <c r="O367" s="196">
        <f>IFERROR(IF(($N$4-VLOOKUP(REGISTRO_MAESTRO_m3!X367,DISTRIBUCION_CONTENEDORES!$A$3:$D$530,2) ) &lt; 0,0,($N$4-VLOOKUP(X367,DISTRIBUCION_CONTENEDORES!$A$3:$D$530,2) ) * (M367/VLOOKUP(X367,DISTRIBUCION_CONTENEDORES!$A$3:$D$530,2))),0) *$N$5</f>
        <v>0</v>
      </c>
      <c r="P367" s="194">
        <f t="shared" ref="P367:P419" si="64">N367+O367</f>
        <v>0</v>
      </c>
      <c r="Q367" s="190">
        <f t="shared" ref="Q367:Q419" si="65">P367-L367</f>
        <v>0</v>
      </c>
      <c r="R367" s="188">
        <f t="shared" si="60"/>
        <v>0</v>
      </c>
      <c r="S367" s="213">
        <v>0</v>
      </c>
      <c r="T367" s="191">
        <f t="shared" si="61"/>
        <v>0</v>
      </c>
      <c r="U367" s="187">
        <f t="shared" ref="U367:U419" si="66">IF(Q367&lt; 0, 0, Q367-S367)</f>
        <v>0</v>
      </c>
      <c r="V367" s="203">
        <f t="shared" si="62"/>
        <v>0</v>
      </c>
      <c r="W367" s="56">
        <f t="shared" ref="W367:W419" si="67">M367*$N$8</f>
        <v>0</v>
      </c>
      <c r="X367" s="207">
        <v>0</v>
      </c>
      <c r="Y367" s="189">
        <v>0</v>
      </c>
      <c r="Z367" s="189">
        <f t="shared" si="63"/>
        <v>0</v>
      </c>
    </row>
    <row r="368" spans="1:26" x14ac:dyDescent="0.35">
      <c r="A368" s="176">
        <v>400</v>
      </c>
      <c r="B368" s="177"/>
      <c r="C368" s="178"/>
      <c r="D368" s="178"/>
      <c r="E368" s="178"/>
      <c r="F368" s="179"/>
      <c r="G368" s="179"/>
      <c r="H368" s="206"/>
      <c r="I368" s="179"/>
      <c r="J368" s="179"/>
      <c r="K368" s="179"/>
      <c r="L368" s="202">
        <v>0</v>
      </c>
      <c r="M368" s="200">
        <v>0</v>
      </c>
      <c r="N368" s="24">
        <f t="shared" si="59"/>
        <v>0</v>
      </c>
      <c r="O368" s="196">
        <f>IFERROR(IF(($N$4-VLOOKUP(REGISTRO_MAESTRO_m3!X368,DISTRIBUCION_CONTENEDORES!$A$3:$D$530,2) ) &lt; 0,0,($N$4-VLOOKUP(X368,DISTRIBUCION_CONTENEDORES!$A$3:$D$530,2) ) * (M368/VLOOKUP(X368,DISTRIBUCION_CONTENEDORES!$A$3:$D$530,2))),0) *$N$5</f>
        <v>0</v>
      </c>
      <c r="P368" s="194">
        <f t="shared" si="64"/>
        <v>0</v>
      </c>
      <c r="Q368" s="190">
        <f t="shared" si="65"/>
        <v>0</v>
      </c>
      <c r="R368" s="188">
        <f t="shared" si="60"/>
        <v>0</v>
      </c>
      <c r="S368" s="213">
        <v>0</v>
      </c>
      <c r="T368" s="191">
        <f t="shared" si="61"/>
        <v>0</v>
      </c>
      <c r="U368" s="187">
        <f t="shared" si="66"/>
        <v>0</v>
      </c>
      <c r="V368" s="203">
        <f t="shared" si="62"/>
        <v>0</v>
      </c>
      <c r="W368" s="56">
        <f t="shared" si="67"/>
        <v>0</v>
      </c>
      <c r="X368" s="207">
        <v>0</v>
      </c>
      <c r="Y368" s="189">
        <v>0</v>
      </c>
      <c r="Z368" s="189">
        <f t="shared" si="63"/>
        <v>0</v>
      </c>
    </row>
    <row r="369" spans="1:26" x14ac:dyDescent="0.35">
      <c r="A369" s="176">
        <v>401</v>
      </c>
      <c r="B369" s="177"/>
      <c r="C369" s="178"/>
      <c r="D369" s="178"/>
      <c r="E369" s="178"/>
      <c r="F369" s="179"/>
      <c r="G369" s="179"/>
      <c r="H369" s="206"/>
      <c r="I369" s="179"/>
      <c r="J369" s="179"/>
      <c r="K369" s="179"/>
      <c r="L369" s="202">
        <v>0</v>
      </c>
      <c r="M369" s="200">
        <v>0</v>
      </c>
      <c r="N369" s="24">
        <f t="shared" si="59"/>
        <v>0</v>
      </c>
      <c r="O369" s="196">
        <f>IFERROR(IF(($N$4-VLOOKUP(REGISTRO_MAESTRO_m3!X369,DISTRIBUCION_CONTENEDORES!$A$3:$D$530,2) ) &lt; 0,0,($N$4-VLOOKUP(X369,DISTRIBUCION_CONTENEDORES!$A$3:$D$530,2) ) * (M369/VLOOKUP(X369,DISTRIBUCION_CONTENEDORES!$A$3:$D$530,2))),0) *$N$5</f>
        <v>0</v>
      </c>
      <c r="P369" s="194">
        <f t="shared" si="64"/>
        <v>0</v>
      </c>
      <c r="Q369" s="190">
        <f t="shared" si="65"/>
        <v>0</v>
      </c>
      <c r="R369" s="188">
        <f t="shared" si="60"/>
        <v>0</v>
      </c>
      <c r="S369" s="213">
        <v>0</v>
      </c>
      <c r="T369" s="191">
        <f t="shared" si="61"/>
        <v>0</v>
      </c>
      <c r="U369" s="187">
        <f t="shared" si="66"/>
        <v>0</v>
      </c>
      <c r="V369" s="203">
        <f t="shared" si="62"/>
        <v>0</v>
      </c>
      <c r="W369" s="56">
        <f t="shared" si="67"/>
        <v>0</v>
      </c>
      <c r="X369" s="207">
        <v>0</v>
      </c>
      <c r="Y369" s="189">
        <v>0</v>
      </c>
      <c r="Z369" s="189">
        <f t="shared" si="63"/>
        <v>0</v>
      </c>
    </row>
    <row r="370" spans="1:26" x14ac:dyDescent="0.35">
      <c r="A370" s="176">
        <v>402</v>
      </c>
      <c r="B370" s="177"/>
      <c r="C370" s="178"/>
      <c r="D370" s="178"/>
      <c r="E370" s="178"/>
      <c r="F370" s="179"/>
      <c r="G370" s="179"/>
      <c r="H370" s="206"/>
      <c r="I370" s="179"/>
      <c r="J370" s="179"/>
      <c r="K370" s="179"/>
      <c r="L370" s="202">
        <v>0</v>
      </c>
      <c r="M370" s="200">
        <v>0</v>
      </c>
      <c r="N370" s="24">
        <f t="shared" si="59"/>
        <v>0</v>
      </c>
      <c r="O370" s="196">
        <f>IFERROR(IF(($N$4-VLOOKUP(REGISTRO_MAESTRO_m3!X370,DISTRIBUCION_CONTENEDORES!$A$3:$D$530,2) ) &lt; 0,0,($N$4-VLOOKUP(X370,DISTRIBUCION_CONTENEDORES!$A$3:$D$530,2) ) * (M370/VLOOKUP(X370,DISTRIBUCION_CONTENEDORES!$A$3:$D$530,2))),0) *$N$5</f>
        <v>0</v>
      </c>
      <c r="P370" s="194">
        <f t="shared" si="64"/>
        <v>0</v>
      </c>
      <c r="Q370" s="190">
        <f t="shared" si="65"/>
        <v>0</v>
      </c>
      <c r="R370" s="188">
        <f t="shared" si="60"/>
        <v>0</v>
      </c>
      <c r="S370" s="213">
        <v>0</v>
      </c>
      <c r="T370" s="191">
        <f t="shared" si="61"/>
        <v>0</v>
      </c>
      <c r="U370" s="187">
        <f t="shared" si="66"/>
        <v>0</v>
      </c>
      <c r="V370" s="203">
        <f t="shared" si="62"/>
        <v>0</v>
      </c>
      <c r="W370" s="56">
        <f t="shared" si="67"/>
        <v>0</v>
      </c>
      <c r="X370" s="207">
        <v>0</v>
      </c>
      <c r="Y370" s="189">
        <v>0</v>
      </c>
      <c r="Z370" s="189">
        <f t="shared" si="63"/>
        <v>0</v>
      </c>
    </row>
    <row r="371" spans="1:26" x14ac:dyDescent="0.35">
      <c r="A371" s="176">
        <v>403</v>
      </c>
      <c r="B371" s="177"/>
      <c r="C371" s="178"/>
      <c r="D371" s="178"/>
      <c r="E371" s="178"/>
      <c r="F371" s="179"/>
      <c r="G371" s="179"/>
      <c r="H371" s="206"/>
      <c r="I371" s="179"/>
      <c r="J371" s="179"/>
      <c r="K371" s="179"/>
      <c r="L371" s="202">
        <v>0</v>
      </c>
      <c r="M371" s="200">
        <v>0</v>
      </c>
      <c r="N371" s="24">
        <f t="shared" si="59"/>
        <v>0</v>
      </c>
      <c r="O371" s="196">
        <f>IFERROR(IF(($N$4-VLOOKUP(REGISTRO_MAESTRO_m3!X371,DISTRIBUCION_CONTENEDORES!$A$3:$D$530,2) ) &lt; 0,0,($N$4-VLOOKUP(X371,DISTRIBUCION_CONTENEDORES!$A$3:$D$530,2) ) * (M371/VLOOKUP(X371,DISTRIBUCION_CONTENEDORES!$A$3:$D$530,2))),0) *$N$5</f>
        <v>0</v>
      </c>
      <c r="P371" s="194">
        <f t="shared" si="64"/>
        <v>0</v>
      </c>
      <c r="Q371" s="190">
        <f t="shared" si="65"/>
        <v>0</v>
      </c>
      <c r="R371" s="188">
        <f t="shared" si="60"/>
        <v>0</v>
      </c>
      <c r="S371" s="213">
        <v>0</v>
      </c>
      <c r="T371" s="191">
        <f t="shared" si="61"/>
        <v>0</v>
      </c>
      <c r="U371" s="187">
        <f t="shared" si="66"/>
        <v>0</v>
      </c>
      <c r="V371" s="203">
        <f t="shared" si="62"/>
        <v>0</v>
      </c>
      <c r="W371" s="56">
        <f t="shared" si="67"/>
        <v>0</v>
      </c>
      <c r="X371" s="207">
        <v>0</v>
      </c>
      <c r="Y371" s="189">
        <v>0</v>
      </c>
      <c r="Z371" s="189">
        <f t="shared" si="63"/>
        <v>0</v>
      </c>
    </row>
    <row r="372" spans="1:26" x14ac:dyDescent="0.35">
      <c r="A372" s="176">
        <v>404</v>
      </c>
      <c r="B372" s="177"/>
      <c r="C372" s="178"/>
      <c r="D372" s="178"/>
      <c r="E372" s="178"/>
      <c r="F372" s="179"/>
      <c r="G372" s="179"/>
      <c r="H372" s="206"/>
      <c r="I372" s="179"/>
      <c r="J372" s="179"/>
      <c r="K372" s="179"/>
      <c r="L372" s="202">
        <v>0</v>
      </c>
      <c r="M372" s="200">
        <v>0</v>
      </c>
      <c r="N372" s="24">
        <f t="shared" si="59"/>
        <v>0</v>
      </c>
      <c r="O372" s="196">
        <f>IFERROR(IF(($N$4-VLOOKUP(REGISTRO_MAESTRO_m3!X372,DISTRIBUCION_CONTENEDORES!$A$3:$D$530,2) ) &lt; 0,0,($N$4-VLOOKUP(X372,DISTRIBUCION_CONTENEDORES!$A$3:$D$530,2) ) * (M372/VLOOKUP(X372,DISTRIBUCION_CONTENEDORES!$A$3:$D$530,2))),0) *$N$5</f>
        <v>0</v>
      </c>
      <c r="P372" s="194">
        <f t="shared" si="64"/>
        <v>0</v>
      </c>
      <c r="Q372" s="190">
        <f t="shared" si="65"/>
        <v>0</v>
      </c>
      <c r="R372" s="188">
        <f t="shared" si="60"/>
        <v>0</v>
      </c>
      <c r="S372" s="213">
        <v>0</v>
      </c>
      <c r="T372" s="191">
        <f t="shared" si="61"/>
        <v>0</v>
      </c>
      <c r="U372" s="187">
        <f t="shared" si="66"/>
        <v>0</v>
      </c>
      <c r="V372" s="203">
        <f t="shared" si="62"/>
        <v>0</v>
      </c>
      <c r="W372" s="56">
        <f t="shared" si="67"/>
        <v>0</v>
      </c>
      <c r="X372" s="207">
        <v>0</v>
      </c>
      <c r="Y372" s="189">
        <v>0</v>
      </c>
      <c r="Z372" s="189">
        <f t="shared" si="63"/>
        <v>0</v>
      </c>
    </row>
    <row r="373" spans="1:26" x14ac:dyDescent="0.35">
      <c r="A373" s="176">
        <v>405</v>
      </c>
      <c r="B373" s="177"/>
      <c r="C373" s="178"/>
      <c r="D373" s="178"/>
      <c r="E373" s="178"/>
      <c r="F373" s="179"/>
      <c r="G373" s="179"/>
      <c r="H373" s="206"/>
      <c r="I373" s="179"/>
      <c r="J373" s="179"/>
      <c r="K373" s="179"/>
      <c r="L373" s="202">
        <v>0</v>
      </c>
      <c r="M373" s="200">
        <v>0</v>
      </c>
      <c r="N373" s="24">
        <f t="shared" si="59"/>
        <v>0</v>
      </c>
      <c r="O373" s="196">
        <f>IFERROR(IF(($N$4-VLOOKUP(REGISTRO_MAESTRO_m3!X373,DISTRIBUCION_CONTENEDORES!$A$3:$D$530,2) ) &lt; 0,0,($N$4-VLOOKUP(X373,DISTRIBUCION_CONTENEDORES!$A$3:$D$530,2) ) * (M373/VLOOKUP(X373,DISTRIBUCION_CONTENEDORES!$A$3:$D$530,2))),0) *$N$5</f>
        <v>0</v>
      </c>
      <c r="P373" s="194">
        <f t="shared" si="64"/>
        <v>0</v>
      </c>
      <c r="Q373" s="190">
        <f t="shared" si="65"/>
        <v>0</v>
      </c>
      <c r="R373" s="188">
        <f t="shared" si="60"/>
        <v>0</v>
      </c>
      <c r="S373" s="213">
        <v>0</v>
      </c>
      <c r="T373" s="191">
        <f t="shared" si="61"/>
        <v>0</v>
      </c>
      <c r="U373" s="187">
        <f t="shared" si="66"/>
        <v>0</v>
      </c>
      <c r="V373" s="203">
        <f t="shared" si="62"/>
        <v>0</v>
      </c>
      <c r="W373" s="56">
        <f t="shared" si="67"/>
        <v>0</v>
      </c>
      <c r="X373" s="207">
        <v>0</v>
      </c>
      <c r="Y373" s="189">
        <v>0</v>
      </c>
      <c r="Z373" s="189">
        <f t="shared" si="63"/>
        <v>0</v>
      </c>
    </row>
    <row r="374" spans="1:26" x14ac:dyDescent="0.35">
      <c r="A374" s="176">
        <v>406</v>
      </c>
      <c r="B374" s="177"/>
      <c r="C374" s="178"/>
      <c r="D374" s="178"/>
      <c r="E374" s="178"/>
      <c r="F374" s="179"/>
      <c r="G374" s="179"/>
      <c r="H374" s="206"/>
      <c r="I374" s="179"/>
      <c r="J374" s="179"/>
      <c r="K374" s="179"/>
      <c r="L374" s="202">
        <v>0</v>
      </c>
      <c r="M374" s="200">
        <v>0</v>
      </c>
      <c r="N374" s="24">
        <f t="shared" si="59"/>
        <v>0</v>
      </c>
      <c r="O374" s="196">
        <f>IFERROR(IF(($N$4-VLOOKUP(REGISTRO_MAESTRO_m3!X374,DISTRIBUCION_CONTENEDORES!$A$3:$D$530,2) ) &lt; 0,0,($N$4-VLOOKUP(X374,DISTRIBUCION_CONTENEDORES!$A$3:$D$530,2) ) * (M374/VLOOKUP(X374,DISTRIBUCION_CONTENEDORES!$A$3:$D$530,2))),0) *$N$5</f>
        <v>0</v>
      </c>
      <c r="P374" s="194">
        <f t="shared" si="64"/>
        <v>0</v>
      </c>
      <c r="Q374" s="190">
        <f t="shared" si="65"/>
        <v>0</v>
      </c>
      <c r="R374" s="188">
        <f t="shared" si="60"/>
        <v>0</v>
      </c>
      <c r="S374" s="213">
        <v>0</v>
      </c>
      <c r="T374" s="191">
        <f t="shared" si="61"/>
        <v>0</v>
      </c>
      <c r="U374" s="187">
        <f t="shared" si="66"/>
        <v>0</v>
      </c>
      <c r="V374" s="203">
        <f t="shared" si="62"/>
        <v>0</v>
      </c>
      <c r="W374" s="56">
        <f t="shared" si="67"/>
        <v>0</v>
      </c>
      <c r="X374" s="207">
        <v>0</v>
      </c>
      <c r="Y374" s="189">
        <v>0</v>
      </c>
      <c r="Z374" s="189">
        <f t="shared" si="63"/>
        <v>0</v>
      </c>
    </row>
    <row r="375" spans="1:26" x14ac:dyDescent="0.35">
      <c r="A375" s="176">
        <v>407</v>
      </c>
      <c r="B375" s="177"/>
      <c r="C375" s="178"/>
      <c r="D375" s="178"/>
      <c r="E375" s="178"/>
      <c r="F375" s="179"/>
      <c r="G375" s="179"/>
      <c r="H375" s="206"/>
      <c r="I375" s="179"/>
      <c r="J375" s="179"/>
      <c r="K375" s="179"/>
      <c r="L375" s="202">
        <v>0</v>
      </c>
      <c r="M375" s="200">
        <v>0</v>
      </c>
      <c r="N375" s="24">
        <f t="shared" si="59"/>
        <v>0</v>
      </c>
      <c r="O375" s="196">
        <f>IFERROR(IF(($N$4-VLOOKUP(REGISTRO_MAESTRO_m3!X375,DISTRIBUCION_CONTENEDORES!$A$3:$D$530,2) ) &lt; 0,0,($N$4-VLOOKUP(X375,DISTRIBUCION_CONTENEDORES!$A$3:$D$530,2) ) * (M375/VLOOKUP(X375,DISTRIBUCION_CONTENEDORES!$A$3:$D$530,2))),0) *$N$5</f>
        <v>0</v>
      </c>
      <c r="P375" s="194">
        <f t="shared" si="64"/>
        <v>0</v>
      </c>
      <c r="Q375" s="190">
        <f t="shared" si="65"/>
        <v>0</v>
      </c>
      <c r="R375" s="188">
        <f t="shared" si="60"/>
        <v>0</v>
      </c>
      <c r="S375" s="213">
        <v>0</v>
      </c>
      <c r="T375" s="191">
        <f t="shared" si="61"/>
        <v>0</v>
      </c>
      <c r="U375" s="187">
        <f t="shared" si="66"/>
        <v>0</v>
      </c>
      <c r="V375" s="203">
        <f t="shared" si="62"/>
        <v>0</v>
      </c>
      <c r="W375" s="56">
        <f t="shared" si="67"/>
        <v>0</v>
      </c>
      <c r="X375" s="207">
        <v>0</v>
      </c>
      <c r="Y375" s="189">
        <v>0</v>
      </c>
      <c r="Z375" s="189">
        <f t="shared" si="63"/>
        <v>0</v>
      </c>
    </row>
    <row r="376" spans="1:26" x14ac:dyDescent="0.35">
      <c r="A376" s="176">
        <v>408</v>
      </c>
      <c r="B376" s="177"/>
      <c r="C376" s="178"/>
      <c r="D376" s="178"/>
      <c r="E376" s="178"/>
      <c r="F376" s="179"/>
      <c r="G376" s="179"/>
      <c r="H376" s="206"/>
      <c r="I376" s="179"/>
      <c r="J376" s="179"/>
      <c r="K376" s="179"/>
      <c r="L376" s="202">
        <v>0</v>
      </c>
      <c r="M376" s="200">
        <v>0</v>
      </c>
      <c r="N376" s="24">
        <f t="shared" si="59"/>
        <v>0</v>
      </c>
      <c r="O376" s="196">
        <f>IFERROR(IF(($N$4-VLOOKUP(REGISTRO_MAESTRO_m3!X376,DISTRIBUCION_CONTENEDORES!$A$3:$D$530,2) ) &lt; 0,0,($N$4-VLOOKUP(X376,DISTRIBUCION_CONTENEDORES!$A$3:$D$530,2) ) * (M376/VLOOKUP(X376,DISTRIBUCION_CONTENEDORES!$A$3:$D$530,2))),0) *$N$5</f>
        <v>0</v>
      </c>
      <c r="P376" s="194">
        <f t="shared" si="64"/>
        <v>0</v>
      </c>
      <c r="Q376" s="190">
        <f t="shared" si="65"/>
        <v>0</v>
      </c>
      <c r="R376" s="188">
        <f t="shared" si="60"/>
        <v>0</v>
      </c>
      <c r="S376" s="213">
        <v>0</v>
      </c>
      <c r="T376" s="191">
        <f t="shared" si="61"/>
        <v>0</v>
      </c>
      <c r="U376" s="187">
        <f t="shared" si="66"/>
        <v>0</v>
      </c>
      <c r="V376" s="203">
        <f t="shared" si="62"/>
        <v>0</v>
      </c>
      <c r="W376" s="56">
        <f t="shared" si="67"/>
        <v>0</v>
      </c>
      <c r="X376" s="207">
        <v>0</v>
      </c>
      <c r="Y376" s="189">
        <v>0</v>
      </c>
      <c r="Z376" s="189">
        <f t="shared" si="63"/>
        <v>0</v>
      </c>
    </row>
    <row r="377" spans="1:26" x14ac:dyDescent="0.35">
      <c r="A377" s="176">
        <v>409</v>
      </c>
      <c r="B377" s="177"/>
      <c r="C377" s="178"/>
      <c r="D377" s="178"/>
      <c r="E377" s="178"/>
      <c r="F377" s="179"/>
      <c r="G377" s="179"/>
      <c r="H377" s="206"/>
      <c r="I377" s="179"/>
      <c r="J377" s="179"/>
      <c r="K377" s="179"/>
      <c r="L377" s="202">
        <v>0</v>
      </c>
      <c r="M377" s="200">
        <v>0</v>
      </c>
      <c r="N377" s="24">
        <f t="shared" si="59"/>
        <v>0</v>
      </c>
      <c r="O377" s="196">
        <f>IFERROR(IF(($N$4-VLOOKUP(REGISTRO_MAESTRO_m3!X377,DISTRIBUCION_CONTENEDORES!$A$3:$D$530,2) ) &lt; 0,0,($N$4-VLOOKUP(X377,DISTRIBUCION_CONTENEDORES!$A$3:$D$530,2) ) * (M377/VLOOKUP(X377,DISTRIBUCION_CONTENEDORES!$A$3:$D$530,2))),0) *$N$5</f>
        <v>0</v>
      </c>
      <c r="P377" s="194">
        <f t="shared" si="64"/>
        <v>0</v>
      </c>
      <c r="Q377" s="190">
        <f t="shared" si="65"/>
        <v>0</v>
      </c>
      <c r="R377" s="188">
        <f t="shared" si="60"/>
        <v>0</v>
      </c>
      <c r="S377" s="213">
        <v>0</v>
      </c>
      <c r="T377" s="191">
        <f t="shared" si="61"/>
        <v>0</v>
      </c>
      <c r="U377" s="187">
        <f t="shared" si="66"/>
        <v>0</v>
      </c>
      <c r="V377" s="203">
        <f t="shared" si="62"/>
        <v>0</v>
      </c>
      <c r="W377" s="56">
        <f t="shared" si="67"/>
        <v>0</v>
      </c>
      <c r="X377" s="207">
        <v>0</v>
      </c>
      <c r="Y377" s="189">
        <v>0</v>
      </c>
      <c r="Z377" s="189">
        <f t="shared" si="63"/>
        <v>0</v>
      </c>
    </row>
    <row r="378" spans="1:26" x14ac:dyDescent="0.35">
      <c r="A378" s="176">
        <v>410</v>
      </c>
      <c r="B378" s="177"/>
      <c r="C378" s="178"/>
      <c r="D378" s="178"/>
      <c r="E378" s="178"/>
      <c r="F378" s="179"/>
      <c r="G378" s="179"/>
      <c r="H378" s="206"/>
      <c r="I378" s="179"/>
      <c r="J378" s="179"/>
      <c r="K378" s="179"/>
      <c r="L378" s="202">
        <v>0</v>
      </c>
      <c r="M378" s="200">
        <v>0</v>
      </c>
      <c r="N378" s="24">
        <f t="shared" si="59"/>
        <v>0</v>
      </c>
      <c r="O378" s="196">
        <f>IFERROR(IF(($N$4-VLOOKUP(REGISTRO_MAESTRO_m3!X378,DISTRIBUCION_CONTENEDORES!$A$3:$D$530,2) ) &lt; 0,0,($N$4-VLOOKUP(X378,DISTRIBUCION_CONTENEDORES!$A$3:$D$530,2) ) * (M378/VLOOKUP(X378,DISTRIBUCION_CONTENEDORES!$A$3:$D$530,2))),0) *$N$5</f>
        <v>0</v>
      </c>
      <c r="P378" s="194">
        <f t="shared" si="64"/>
        <v>0</v>
      </c>
      <c r="Q378" s="190">
        <f t="shared" si="65"/>
        <v>0</v>
      </c>
      <c r="R378" s="188">
        <f t="shared" si="60"/>
        <v>0</v>
      </c>
      <c r="S378" s="213">
        <v>0</v>
      </c>
      <c r="T378" s="191">
        <f t="shared" si="61"/>
        <v>0</v>
      </c>
      <c r="U378" s="187">
        <f t="shared" si="66"/>
        <v>0</v>
      </c>
      <c r="V378" s="203">
        <f t="shared" si="62"/>
        <v>0</v>
      </c>
      <c r="W378" s="56">
        <f t="shared" si="67"/>
        <v>0</v>
      </c>
      <c r="X378" s="207">
        <v>0</v>
      </c>
      <c r="Y378" s="189">
        <v>0</v>
      </c>
      <c r="Z378" s="189">
        <f t="shared" si="63"/>
        <v>0</v>
      </c>
    </row>
    <row r="379" spans="1:26" x14ac:dyDescent="0.35">
      <c r="A379" s="176">
        <v>411</v>
      </c>
      <c r="B379" s="177"/>
      <c r="C379" s="178"/>
      <c r="D379" s="178"/>
      <c r="E379" s="178"/>
      <c r="F379" s="179"/>
      <c r="G379" s="179"/>
      <c r="H379" s="206"/>
      <c r="I379" s="179"/>
      <c r="J379" s="179"/>
      <c r="K379" s="179"/>
      <c r="L379" s="202">
        <v>0</v>
      </c>
      <c r="M379" s="200">
        <v>0</v>
      </c>
      <c r="N379" s="24">
        <f t="shared" si="59"/>
        <v>0</v>
      </c>
      <c r="O379" s="196">
        <f>IFERROR(IF(($N$4-VLOOKUP(REGISTRO_MAESTRO_m3!X379,DISTRIBUCION_CONTENEDORES!$A$3:$D$530,2) ) &lt; 0,0,($N$4-VLOOKUP(X379,DISTRIBUCION_CONTENEDORES!$A$3:$D$530,2) ) * (M379/VLOOKUP(X379,DISTRIBUCION_CONTENEDORES!$A$3:$D$530,2))),0) *$N$5</f>
        <v>0</v>
      </c>
      <c r="P379" s="194">
        <f t="shared" si="64"/>
        <v>0</v>
      </c>
      <c r="Q379" s="190">
        <f t="shared" si="65"/>
        <v>0</v>
      </c>
      <c r="R379" s="188">
        <f t="shared" si="60"/>
        <v>0</v>
      </c>
      <c r="S379" s="213">
        <v>0</v>
      </c>
      <c r="T379" s="191">
        <f t="shared" si="61"/>
        <v>0</v>
      </c>
      <c r="U379" s="187">
        <f t="shared" si="66"/>
        <v>0</v>
      </c>
      <c r="V379" s="203">
        <f t="shared" si="62"/>
        <v>0</v>
      </c>
      <c r="W379" s="56">
        <f t="shared" si="67"/>
        <v>0</v>
      </c>
      <c r="X379" s="207">
        <v>0</v>
      </c>
      <c r="Y379" s="189">
        <v>0</v>
      </c>
      <c r="Z379" s="189">
        <f t="shared" si="63"/>
        <v>0</v>
      </c>
    </row>
    <row r="380" spans="1:26" x14ac:dyDescent="0.35">
      <c r="A380" s="176">
        <v>412</v>
      </c>
      <c r="B380" s="177"/>
      <c r="C380" s="178"/>
      <c r="D380" s="178"/>
      <c r="E380" s="178"/>
      <c r="F380" s="179"/>
      <c r="G380" s="179"/>
      <c r="H380" s="206"/>
      <c r="I380" s="179"/>
      <c r="J380" s="179"/>
      <c r="K380" s="179"/>
      <c r="L380" s="202">
        <v>0</v>
      </c>
      <c r="M380" s="200">
        <v>0</v>
      </c>
      <c r="N380" s="24">
        <f t="shared" si="59"/>
        <v>0</v>
      </c>
      <c r="O380" s="196">
        <f>IFERROR(IF(($N$4-VLOOKUP(REGISTRO_MAESTRO_m3!X380,DISTRIBUCION_CONTENEDORES!$A$3:$D$530,2) ) &lt; 0,0,($N$4-VLOOKUP(X380,DISTRIBUCION_CONTENEDORES!$A$3:$D$530,2) ) * (M380/VLOOKUP(X380,DISTRIBUCION_CONTENEDORES!$A$3:$D$530,2))),0) *$N$5</f>
        <v>0</v>
      </c>
      <c r="P380" s="194">
        <f t="shared" si="64"/>
        <v>0</v>
      </c>
      <c r="Q380" s="190">
        <f t="shared" si="65"/>
        <v>0</v>
      </c>
      <c r="R380" s="188">
        <f t="shared" si="60"/>
        <v>0</v>
      </c>
      <c r="S380" s="213">
        <v>0</v>
      </c>
      <c r="T380" s="191">
        <f t="shared" si="61"/>
        <v>0</v>
      </c>
      <c r="U380" s="187">
        <f t="shared" si="66"/>
        <v>0</v>
      </c>
      <c r="V380" s="203">
        <f t="shared" si="62"/>
        <v>0</v>
      </c>
      <c r="W380" s="56">
        <f t="shared" si="67"/>
        <v>0</v>
      </c>
      <c r="X380" s="207">
        <v>0</v>
      </c>
      <c r="Y380" s="189">
        <v>0</v>
      </c>
      <c r="Z380" s="189">
        <f t="shared" si="63"/>
        <v>0</v>
      </c>
    </row>
    <row r="381" spans="1:26" x14ac:dyDescent="0.35">
      <c r="A381" s="176">
        <v>413</v>
      </c>
      <c r="B381" s="177"/>
      <c r="C381" s="178"/>
      <c r="D381" s="178"/>
      <c r="E381" s="178"/>
      <c r="F381" s="179"/>
      <c r="G381" s="179"/>
      <c r="H381" s="206"/>
      <c r="I381" s="179"/>
      <c r="J381" s="179"/>
      <c r="K381" s="179"/>
      <c r="L381" s="202">
        <v>0</v>
      </c>
      <c r="M381" s="200">
        <v>0</v>
      </c>
      <c r="N381" s="24">
        <f t="shared" si="59"/>
        <v>0</v>
      </c>
      <c r="O381" s="196">
        <f>IFERROR(IF(($N$4-VLOOKUP(REGISTRO_MAESTRO_m3!X381,DISTRIBUCION_CONTENEDORES!$A$3:$D$530,2) ) &lt; 0,0,($N$4-VLOOKUP(X381,DISTRIBUCION_CONTENEDORES!$A$3:$D$530,2) ) * (M381/VLOOKUP(X381,DISTRIBUCION_CONTENEDORES!$A$3:$D$530,2))),0) *$N$5</f>
        <v>0</v>
      </c>
      <c r="P381" s="194">
        <f t="shared" si="64"/>
        <v>0</v>
      </c>
      <c r="Q381" s="190">
        <f t="shared" si="65"/>
        <v>0</v>
      </c>
      <c r="R381" s="188">
        <f t="shared" si="60"/>
        <v>0</v>
      </c>
      <c r="S381" s="213">
        <v>0</v>
      </c>
      <c r="T381" s="191">
        <f t="shared" si="61"/>
        <v>0</v>
      </c>
      <c r="U381" s="187">
        <f t="shared" si="66"/>
        <v>0</v>
      </c>
      <c r="V381" s="203">
        <f t="shared" si="62"/>
        <v>0</v>
      </c>
      <c r="W381" s="56">
        <f t="shared" si="67"/>
        <v>0</v>
      </c>
      <c r="X381" s="207">
        <v>0</v>
      </c>
      <c r="Y381" s="189">
        <v>0</v>
      </c>
      <c r="Z381" s="189">
        <f t="shared" si="63"/>
        <v>0</v>
      </c>
    </row>
    <row r="382" spans="1:26" x14ac:dyDescent="0.35">
      <c r="A382" s="176">
        <v>414</v>
      </c>
      <c r="B382" s="177"/>
      <c r="C382" s="178"/>
      <c r="D382" s="178"/>
      <c r="E382" s="178"/>
      <c r="F382" s="179"/>
      <c r="G382" s="179"/>
      <c r="H382" s="206"/>
      <c r="I382" s="179"/>
      <c r="J382" s="179"/>
      <c r="K382" s="179"/>
      <c r="L382" s="202">
        <v>0</v>
      </c>
      <c r="M382" s="200">
        <v>0</v>
      </c>
      <c r="N382" s="24">
        <f t="shared" si="59"/>
        <v>0</v>
      </c>
      <c r="O382" s="196">
        <f>IFERROR(IF(($N$4-VLOOKUP(REGISTRO_MAESTRO_m3!X382,DISTRIBUCION_CONTENEDORES!$A$3:$D$530,2) ) &lt; 0,0,($N$4-VLOOKUP(X382,DISTRIBUCION_CONTENEDORES!$A$3:$D$530,2) ) * (M382/VLOOKUP(X382,DISTRIBUCION_CONTENEDORES!$A$3:$D$530,2))),0) *$N$5</f>
        <v>0</v>
      </c>
      <c r="P382" s="194">
        <f t="shared" si="64"/>
        <v>0</v>
      </c>
      <c r="Q382" s="190">
        <f t="shared" si="65"/>
        <v>0</v>
      </c>
      <c r="R382" s="188">
        <f t="shared" si="60"/>
        <v>0</v>
      </c>
      <c r="S382" s="213">
        <v>0</v>
      </c>
      <c r="T382" s="191">
        <f t="shared" si="61"/>
        <v>0</v>
      </c>
      <c r="U382" s="187">
        <f t="shared" si="66"/>
        <v>0</v>
      </c>
      <c r="V382" s="203">
        <f t="shared" si="62"/>
        <v>0</v>
      </c>
      <c r="W382" s="56">
        <f t="shared" si="67"/>
        <v>0</v>
      </c>
      <c r="X382" s="207">
        <v>0</v>
      </c>
      <c r="Y382" s="189">
        <v>0</v>
      </c>
      <c r="Z382" s="189">
        <f t="shared" si="63"/>
        <v>0</v>
      </c>
    </row>
    <row r="383" spans="1:26" x14ac:dyDescent="0.35">
      <c r="A383" s="176">
        <v>415</v>
      </c>
      <c r="B383" s="177"/>
      <c r="C383" s="178"/>
      <c r="D383" s="178"/>
      <c r="E383" s="178"/>
      <c r="F383" s="179"/>
      <c r="G383" s="179"/>
      <c r="H383" s="206"/>
      <c r="I383" s="179"/>
      <c r="J383" s="179"/>
      <c r="K383" s="179"/>
      <c r="L383" s="202">
        <v>0</v>
      </c>
      <c r="M383" s="200">
        <v>0</v>
      </c>
      <c r="N383" s="24">
        <f t="shared" si="59"/>
        <v>0</v>
      </c>
      <c r="O383" s="196">
        <f>IFERROR(IF(($N$4-VLOOKUP(REGISTRO_MAESTRO_m3!X383,DISTRIBUCION_CONTENEDORES!$A$3:$D$530,2) ) &lt; 0,0,($N$4-VLOOKUP(X383,DISTRIBUCION_CONTENEDORES!$A$3:$D$530,2) ) * (M383/VLOOKUP(X383,DISTRIBUCION_CONTENEDORES!$A$3:$D$530,2))),0) *$N$5</f>
        <v>0</v>
      </c>
      <c r="P383" s="194">
        <f t="shared" si="64"/>
        <v>0</v>
      </c>
      <c r="Q383" s="190">
        <f t="shared" si="65"/>
        <v>0</v>
      </c>
      <c r="R383" s="188">
        <f t="shared" si="60"/>
        <v>0</v>
      </c>
      <c r="S383" s="213">
        <v>0</v>
      </c>
      <c r="T383" s="191">
        <f t="shared" si="61"/>
        <v>0</v>
      </c>
      <c r="U383" s="187">
        <f t="shared" si="66"/>
        <v>0</v>
      </c>
      <c r="V383" s="203">
        <f t="shared" si="62"/>
        <v>0</v>
      </c>
      <c r="W383" s="56">
        <f t="shared" si="67"/>
        <v>0</v>
      </c>
      <c r="X383" s="207">
        <v>0</v>
      </c>
      <c r="Y383" s="189">
        <v>0</v>
      </c>
      <c r="Z383" s="189">
        <f t="shared" si="63"/>
        <v>0</v>
      </c>
    </row>
    <row r="384" spans="1:26" x14ac:dyDescent="0.35">
      <c r="A384" s="176">
        <v>416</v>
      </c>
      <c r="B384" s="177"/>
      <c r="C384" s="178"/>
      <c r="D384" s="178"/>
      <c r="E384" s="178"/>
      <c r="F384" s="179"/>
      <c r="G384" s="179"/>
      <c r="H384" s="206"/>
      <c r="I384" s="179"/>
      <c r="J384" s="179"/>
      <c r="K384" s="179"/>
      <c r="L384" s="202">
        <v>0</v>
      </c>
      <c r="M384" s="200">
        <v>0</v>
      </c>
      <c r="N384" s="24">
        <f t="shared" si="59"/>
        <v>0</v>
      </c>
      <c r="O384" s="196">
        <f>IFERROR(IF(($N$4-VLOOKUP(REGISTRO_MAESTRO_m3!X384,DISTRIBUCION_CONTENEDORES!$A$3:$D$530,2) ) &lt; 0,0,($N$4-VLOOKUP(X384,DISTRIBUCION_CONTENEDORES!$A$3:$D$530,2) ) * (M384/VLOOKUP(X384,DISTRIBUCION_CONTENEDORES!$A$3:$D$530,2))),0) *$N$5</f>
        <v>0</v>
      </c>
      <c r="P384" s="194">
        <f t="shared" si="64"/>
        <v>0</v>
      </c>
      <c r="Q384" s="190">
        <f t="shared" si="65"/>
        <v>0</v>
      </c>
      <c r="R384" s="188">
        <f t="shared" si="60"/>
        <v>0</v>
      </c>
      <c r="S384" s="213">
        <v>0</v>
      </c>
      <c r="T384" s="191">
        <f t="shared" si="61"/>
        <v>0</v>
      </c>
      <c r="U384" s="187">
        <f t="shared" si="66"/>
        <v>0</v>
      </c>
      <c r="V384" s="203">
        <f t="shared" si="62"/>
        <v>0</v>
      </c>
      <c r="W384" s="56">
        <f t="shared" si="67"/>
        <v>0</v>
      </c>
      <c r="X384" s="207">
        <v>0</v>
      </c>
      <c r="Y384" s="189">
        <v>0</v>
      </c>
      <c r="Z384" s="189">
        <f t="shared" si="63"/>
        <v>0</v>
      </c>
    </row>
    <row r="385" spans="1:26" x14ac:dyDescent="0.35">
      <c r="A385" s="176">
        <v>417</v>
      </c>
      <c r="B385" s="177"/>
      <c r="C385" s="178"/>
      <c r="D385" s="178"/>
      <c r="E385" s="178"/>
      <c r="F385" s="179"/>
      <c r="G385" s="179"/>
      <c r="H385" s="206"/>
      <c r="I385" s="179"/>
      <c r="J385" s="179"/>
      <c r="K385" s="179"/>
      <c r="L385" s="202">
        <v>0</v>
      </c>
      <c r="M385" s="200">
        <v>0</v>
      </c>
      <c r="N385" s="24">
        <f t="shared" si="59"/>
        <v>0</v>
      </c>
      <c r="O385" s="196">
        <f>IFERROR(IF(($N$4-VLOOKUP(REGISTRO_MAESTRO_m3!X385,DISTRIBUCION_CONTENEDORES!$A$3:$D$530,2) ) &lt; 0,0,($N$4-VLOOKUP(X385,DISTRIBUCION_CONTENEDORES!$A$3:$D$530,2) ) * (M385/VLOOKUP(X385,DISTRIBUCION_CONTENEDORES!$A$3:$D$530,2))),0) *$N$5</f>
        <v>0</v>
      </c>
      <c r="P385" s="194">
        <f t="shared" si="64"/>
        <v>0</v>
      </c>
      <c r="Q385" s="190">
        <f t="shared" si="65"/>
        <v>0</v>
      </c>
      <c r="R385" s="188">
        <f t="shared" si="60"/>
        <v>0</v>
      </c>
      <c r="S385" s="213">
        <v>0</v>
      </c>
      <c r="T385" s="191">
        <f t="shared" si="61"/>
        <v>0</v>
      </c>
      <c r="U385" s="187">
        <f t="shared" si="66"/>
        <v>0</v>
      </c>
      <c r="V385" s="203">
        <f t="shared" si="62"/>
        <v>0</v>
      </c>
      <c r="W385" s="56">
        <f t="shared" si="67"/>
        <v>0</v>
      </c>
      <c r="X385" s="207">
        <v>0</v>
      </c>
      <c r="Y385" s="189">
        <v>0</v>
      </c>
      <c r="Z385" s="189">
        <f t="shared" si="63"/>
        <v>0</v>
      </c>
    </row>
    <row r="386" spans="1:26" x14ac:dyDescent="0.35">
      <c r="A386" s="176">
        <v>418</v>
      </c>
      <c r="B386" s="177"/>
      <c r="C386" s="178"/>
      <c r="D386" s="178"/>
      <c r="E386" s="178"/>
      <c r="F386" s="179"/>
      <c r="G386" s="179"/>
      <c r="H386" s="206"/>
      <c r="I386" s="179"/>
      <c r="J386" s="179"/>
      <c r="K386" s="179"/>
      <c r="L386" s="202">
        <v>0</v>
      </c>
      <c r="M386" s="200">
        <v>0</v>
      </c>
      <c r="N386" s="24">
        <f t="shared" si="59"/>
        <v>0</v>
      </c>
      <c r="O386" s="196">
        <f>IFERROR(IF(($N$4-VLOOKUP(REGISTRO_MAESTRO_m3!X386,DISTRIBUCION_CONTENEDORES!$A$3:$D$530,2) ) &lt; 0,0,($N$4-VLOOKUP(X386,DISTRIBUCION_CONTENEDORES!$A$3:$D$530,2) ) * (M386/VLOOKUP(X386,DISTRIBUCION_CONTENEDORES!$A$3:$D$530,2))),0) *$N$5</f>
        <v>0</v>
      </c>
      <c r="P386" s="194">
        <f t="shared" si="64"/>
        <v>0</v>
      </c>
      <c r="Q386" s="190">
        <f t="shared" si="65"/>
        <v>0</v>
      </c>
      <c r="R386" s="188">
        <f t="shared" si="60"/>
        <v>0</v>
      </c>
      <c r="S386" s="213">
        <v>0</v>
      </c>
      <c r="T386" s="191">
        <f t="shared" si="61"/>
        <v>0</v>
      </c>
      <c r="U386" s="187">
        <f t="shared" si="66"/>
        <v>0</v>
      </c>
      <c r="V386" s="203">
        <f t="shared" si="62"/>
        <v>0</v>
      </c>
      <c r="W386" s="56">
        <f t="shared" si="67"/>
        <v>0</v>
      </c>
      <c r="X386" s="207">
        <v>0</v>
      </c>
      <c r="Y386" s="189">
        <v>0</v>
      </c>
      <c r="Z386" s="189">
        <f t="shared" si="63"/>
        <v>0</v>
      </c>
    </row>
    <row r="387" spans="1:26" x14ac:dyDescent="0.35">
      <c r="A387" s="176">
        <v>419</v>
      </c>
      <c r="B387" s="177"/>
      <c r="C387" s="178"/>
      <c r="D387" s="178"/>
      <c r="E387" s="178"/>
      <c r="F387" s="179"/>
      <c r="G387" s="179"/>
      <c r="H387" s="206"/>
      <c r="I387" s="179"/>
      <c r="J387" s="179"/>
      <c r="K387" s="179"/>
      <c r="L387" s="202">
        <v>0</v>
      </c>
      <c r="M387" s="200">
        <v>0</v>
      </c>
      <c r="N387" s="24">
        <f t="shared" si="59"/>
        <v>0</v>
      </c>
      <c r="O387" s="196">
        <f>IFERROR(IF(($N$4-VLOOKUP(REGISTRO_MAESTRO_m3!X387,DISTRIBUCION_CONTENEDORES!$A$3:$D$530,2) ) &lt; 0,0,($N$4-VLOOKUP(X387,DISTRIBUCION_CONTENEDORES!$A$3:$D$530,2) ) * (M387/VLOOKUP(X387,DISTRIBUCION_CONTENEDORES!$A$3:$D$530,2))),0) *$N$5</f>
        <v>0</v>
      </c>
      <c r="P387" s="194">
        <f t="shared" si="64"/>
        <v>0</v>
      </c>
      <c r="Q387" s="190">
        <f t="shared" si="65"/>
        <v>0</v>
      </c>
      <c r="R387" s="188">
        <f t="shared" si="60"/>
        <v>0</v>
      </c>
      <c r="S387" s="213">
        <v>0</v>
      </c>
      <c r="T387" s="191">
        <f t="shared" si="61"/>
        <v>0</v>
      </c>
      <c r="U387" s="187">
        <f t="shared" si="66"/>
        <v>0</v>
      </c>
      <c r="V387" s="203">
        <f t="shared" si="62"/>
        <v>0</v>
      </c>
      <c r="W387" s="56">
        <f t="shared" si="67"/>
        <v>0</v>
      </c>
      <c r="X387" s="207">
        <v>0</v>
      </c>
      <c r="Y387" s="189">
        <v>0</v>
      </c>
      <c r="Z387" s="189">
        <f t="shared" si="63"/>
        <v>0</v>
      </c>
    </row>
    <row r="388" spans="1:26" x14ac:dyDescent="0.35">
      <c r="A388" s="176">
        <v>420</v>
      </c>
      <c r="B388" s="177"/>
      <c r="C388" s="178"/>
      <c r="D388" s="178"/>
      <c r="E388" s="178"/>
      <c r="F388" s="179"/>
      <c r="G388" s="179"/>
      <c r="H388" s="206"/>
      <c r="I388" s="179"/>
      <c r="J388" s="179"/>
      <c r="K388" s="179"/>
      <c r="L388" s="202">
        <v>0</v>
      </c>
      <c r="M388" s="200">
        <v>0</v>
      </c>
      <c r="N388" s="24">
        <f t="shared" si="59"/>
        <v>0</v>
      </c>
      <c r="O388" s="196">
        <f>IFERROR(IF(($N$4-VLOOKUP(REGISTRO_MAESTRO_m3!X388,DISTRIBUCION_CONTENEDORES!$A$3:$D$530,2) ) &lt; 0,0,($N$4-VLOOKUP(X388,DISTRIBUCION_CONTENEDORES!$A$3:$D$530,2) ) * (M388/VLOOKUP(X388,DISTRIBUCION_CONTENEDORES!$A$3:$D$530,2))),0) *$N$5</f>
        <v>0</v>
      </c>
      <c r="P388" s="194">
        <f t="shared" si="64"/>
        <v>0</v>
      </c>
      <c r="Q388" s="190">
        <f t="shared" si="65"/>
        <v>0</v>
      </c>
      <c r="R388" s="188">
        <f t="shared" si="60"/>
        <v>0</v>
      </c>
      <c r="S388" s="213">
        <v>0</v>
      </c>
      <c r="T388" s="191">
        <f t="shared" si="61"/>
        <v>0</v>
      </c>
      <c r="U388" s="187">
        <f t="shared" si="66"/>
        <v>0</v>
      </c>
      <c r="V388" s="203">
        <f t="shared" si="62"/>
        <v>0</v>
      </c>
      <c r="W388" s="56">
        <f t="shared" si="67"/>
        <v>0</v>
      </c>
      <c r="X388" s="207">
        <v>0</v>
      </c>
      <c r="Y388" s="189">
        <v>0</v>
      </c>
      <c r="Z388" s="189">
        <f t="shared" si="63"/>
        <v>0</v>
      </c>
    </row>
    <row r="389" spans="1:26" x14ac:dyDescent="0.35">
      <c r="A389" s="176">
        <v>421</v>
      </c>
      <c r="B389" s="177"/>
      <c r="C389" s="178"/>
      <c r="D389" s="178"/>
      <c r="E389" s="178"/>
      <c r="F389" s="179"/>
      <c r="G389" s="179"/>
      <c r="H389" s="206"/>
      <c r="I389" s="179"/>
      <c r="J389" s="179"/>
      <c r="K389" s="179"/>
      <c r="L389" s="202">
        <v>0</v>
      </c>
      <c r="M389" s="200">
        <v>0</v>
      </c>
      <c r="N389" s="24">
        <f t="shared" si="59"/>
        <v>0</v>
      </c>
      <c r="O389" s="196">
        <f>IFERROR(IF(($N$4-VLOOKUP(REGISTRO_MAESTRO_m3!X389,DISTRIBUCION_CONTENEDORES!$A$3:$D$530,2) ) &lt; 0,0,($N$4-VLOOKUP(X389,DISTRIBUCION_CONTENEDORES!$A$3:$D$530,2) ) * (M389/VLOOKUP(X389,DISTRIBUCION_CONTENEDORES!$A$3:$D$530,2))),0) *$N$5</f>
        <v>0</v>
      </c>
      <c r="P389" s="194">
        <f t="shared" si="64"/>
        <v>0</v>
      </c>
      <c r="Q389" s="190">
        <f t="shared" si="65"/>
        <v>0</v>
      </c>
      <c r="R389" s="188">
        <f t="shared" si="60"/>
        <v>0</v>
      </c>
      <c r="S389" s="213">
        <v>0</v>
      </c>
      <c r="T389" s="191">
        <f t="shared" si="61"/>
        <v>0</v>
      </c>
      <c r="U389" s="187">
        <f t="shared" si="66"/>
        <v>0</v>
      </c>
      <c r="V389" s="203">
        <f t="shared" si="62"/>
        <v>0</v>
      </c>
      <c r="W389" s="56">
        <f t="shared" si="67"/>
        <v>0</v>
      </c>
      <c r="X389" s="207">
        <v>0</v>
      </c>
      <c r="Y389" s="189">
        <v>0</v>
      </c>
      <c r="Z389" s="189">
        <f t="shared" si="63"/>
        <v>0</v>
      </c>
    </row>
    <row r="390" spans="1:26" x14ac:dyDescent="0.35">
      <c r="A390" s="176">
        <v>422</v>
      </c>
      <c r="B390" s="177"/>
      <c r="C390" s="178"/>
      <c r="D390" s="178"/>
      <c r="E390" s="178"/>
      <c r="F390" s="179"/>
      <c r="G390" s="179"/>
      <c r="H390" s="206"/>
      <c r="I390" s="179"/>
      <c r="J390" s="179"/>
      <c r="K390" s="179"/>
      <c r="L390" s="202">
        <v>0</v>
      </c>
      <c r="M390" s="200">
        <v>0</v>
      </c>
      <c r="N390" s="24">
        <f t="shared" si="59"/>
        <v>0</v>
      </c>
      <c r="O390" s="196">
        <f>IFERROR(IF(($N$4-VLOOKUP(REGISTRO_MAESTRO_m3!X390,DISTRIBUCION_CONTENEDORES!$A$3:$D$530,2) ) &lt; 0,0,($N$4-VLOOKUP(X390,DISTRIBUCION_CONTENEDORES!$A$3:$D$530,2) ) * (M390/VLOOKUP(X390,DISTRIBUCION_CONTENEDORES!$A$3:$D$530,2))),0) *$N$5</f>
        <v>0</v>
      </c>
      <c r="P390" s="194">
        <f t="shared" si="64"/>
        <v>0</v>
      </c>
      <c r="Q390" s="190">
        <f t="shared" si="65"/>
        <v>0</v>
      </c>
      <c r="R390" s="188">
        <f t="shared" si="60"/>
        <v>0</v>
      </c>
      <c r="S390" s="213">
        <v>0</v>
      </c>
      <c r="T390" s="191">
        <f t="shared" si="61"/>
        <v>0</v>
      </c>
      <c r="U390" s="187">
        <f t="shared" si="66"/>
        <v>0</v>
      </c>
      <c r="V390" s="203">
        <f t="shared" si="62"/>
        <v>0</v>
      </c>
      <c r="W390" s="56">
        <f t="shared" si="67"/>
        <v>0</v>
      </c>
      <c r="X390" s="207">
        <v>0</v>
      </c>
      <c r="Y390" s="189">
        <v>0</v>
      </c>
      <c r="Z390" s="189">
        <f t="shared" si="63"/>
        <v>0</v>
      </c>
    </row>
    <row r="391" spans="1:26" x14ac:dyDescent="0.35">
      <c r="A391" s="176">
        <v>423</v>
      </c>
      <c r="B391" s="177"/>
      <c r="C391" s="178"/>
      <c r="D391" s="178"/>
      <c r="E391" s="178"/>
      <c r="F391" s="179"/>
      <c r="G391" s="179"/>
      <c r="H391" s="206"/>
      <c r="I391" s="179"/>
      <c r="J391" s="179"/>
      <c r="K391" s="179"/>
      <c r="L391" s="202">
        <v>0</v>
      </c>
      <c r="M391" s="200">
        <v>0</v>
      </c>
      <c r="N391" s="24">
        <f t="shared" si="59"/>
        <v>0</v>
      </c>
      <c r="O391" s="196">
        <f>IFERROR(IF(($N$4-VLOOKUP(REGISTRO_MAESTRO_m3!X391,DISTRIBUCION_CONTENEDORES!$A$3:$D$530,2) ) &lt; 0,0,($N$4-VLOOKUP(X391,DISTRIBUCION_CONTENEDORES!$A$3:$D$530,2) ) * (M391/VLOOKUP(X391,DISTRIBUCION_CONTENEDORES!$A$3:$D$530,2))),0) *$N$5</f>
        <v>0</v>
      </c>
      <c r="P391" s="194">
        <f t="shared" si="64"/>
        <v>0</v>
      </c>
      <c r="Q391" s="190">
        <f t="shared" si="65"/>
        <v>0</v>
      </c>
      <c r="R391" s="188">
        <f t="shared" si="60"/>
        <v>0</v>
      </c>
      <c r="S391" s="213">
        <v>0</v>
      </c>
      <c r="T391" s="191">
        <f t="shared" si="61"/>
        <v>0</v>
      </c>
      <c r="U391" s="187">
        <f t="shared" si="66"/>
        <v>0</v>
      </c>
      <c r="V391" s="203">
        <f t="shared" si="62"/>
        <v>0</v>
      </c>
      <c r="W391" s="56">
        <f t="shared" si="67"/>
        <v>0</v>
      </c>
      <c r="X391" s="207">
        <v>0</v>
      </c>
      <c r="Y391" s="189">
        <v>0</v>
      </c>
      <c r="Z391" s="189">
        <f t="shared" si="63"/>
        <v>0</v>
      </c>
    </row>
    <row r="392" spans="1:26" x14ac:dyDescent="0.35">
      <c r="A392" s="176">
        <v>424</v>
      </c>
      <c r="B392" s="177"/>
      <c r="C392" s="178"/>
      <c r="D392" s="178"/>
      <c r="E392" s="178"/>
      <c r="F392" s="179"/>
      <c r="G392" s="179"/>
      <c r="H392" s="206"/>
      <c r="I392" s="179"/>
      <c r="J392" s="179"/>
      <c r="K392" s="179"/>
      <c r="L392" s="202">
        <v>0</v>
      </c>
      <c r="M392" s="200">
        <v>0</v>
      </c>
      <c r="N392" s="24">
        <f t="shared" si="59"/>
        <v>0</v>
      </c>
      <c r="O392" s="196">
        <f>IFERROR(IF(($N$4-VLOOKUP(REGISTRO_MAESTRO_m3!X392,DISTRIBUCION_CONTENEDORES!$A$3:$D$530,2) ) &lt; 0,0,($N$4-VLOOKUP(X392,DISTRIBUCION_CONTENEDORES!$A$3:$D$530,2) ) * (M392/VLOOKUP(X392,DISTRIBUCION_CONTENEDORES!$A$3:$D$530,2))),0) *$N$5</f>
        <v>0</v>
      </c>
      <c r="P392" s="194">
        <f t="shared" si="64"/>
        <v>0</v>
      </c>
      <c r="Q392" s="190">
        <f t="shared" si="65"/>
        <v>0</v>
      </c>
      <c r="R392" s="188">
        <f t="shared" si="60"/>
        <v>0</v>
      </c>
      <c r="S392" s="213">
        <v>0</v>
      </c>
      <c r="T392" s="191">
        <f t="shared" si="61"/>
        <v>0</v>
      </c>
      <c r="U392" s="187">
        <f t="shared" si="66"/>
        <v>0</v>
      </c>
      <c r="V392" s="203">
        <f t="shared" si="62"/>
        <v>0</v>
      </c>
      <c r="W392" s="56">
        <f t="shared" si="67"/>
        <v>0</v>
      </c>
      <c r="X392" s="207">
        <v>0</v>
      </c>
      <c r="Y392" s="189">
        <v>0</v>
      </c>
      <c r="Z392" s="189">
        <f t="shared" si="63"/>
        <v>0</v>
      </c>
    </row>
    <row r="393" spans="1:26" x14ac:dyDescent="0.35">
      <c r="A393" s="176">
        <v>425</v>
      </c>
      <c r="B393" s="177"/>
      <c r="C393" s="178"/>
      <c r="D393" s="178"/>
      <c r="E393" s="178"/>
      <c r="F393" s="179"/>
      <c r="G393" s="179"/>
      <c r="H393" s="206"/>
      <c r="I393" s="179"/>
      <c r="J393" s="179"/>
      <c r="K393" s="179"/>
      <c r="L393" s="202">
        <v>0</v>
      </c>
      <c r="M393" s="200">
        <v>0</v>
      </c>
      <c r="N393" s="24">
        <f t="shared" si="59"/>
        <v>0</v>
      </c>
      <c r="O393" s="196">
        <f>IFERROR(IF(($N$4-VLOOKUP(REGISTRO_MAESTRO_m3!X393,DISTRIBUCION_CONTENEDORES!$A$3:$D$530,2) ) &lt; 0,0,($N$4-VLOOKUP(X393,DISTRIBUCION_CONTENEDORES!$A$3:$D$530,2) ) * (M393/VLOOKUP(X393,DISTRIBUCION_CONTENEDORES!$A$3:$D$530,2))),0) *$N$5</f>
        <v>0</v>
      </c>
      <c r="P393" s="194">
        <f t="shared" si="64"/>
        <v>0</v>
      </c>
      <c r="Q393" s="190">
        <f t="shared" si="65"/>
        <v>0</v>
      </c>
      <c r="R393" s="188">
        <f t="shared" si="60"/>
        <v>0</v>
      </c>
      <c r="S393" s="213">
        <v>0</v>
      </c>
      <c r="T393" s="191">
        <f t="shared" si="61"/>
        <v>0</v>
      </c>
      <c r="U393" s="187">
        <f t="shared" si="66"/>
        <v>0</v>
      </c>
      <c r="V393" s="203">
        <f t="shared" si="62"/>
        <v>0</v>
      </c>
      <c r="W393" s="56">
        <f t="shared" si="67"/>
        <v>0</v>
      </c>
      <c r="X393" s="207">
        <v>0</v>
      </c>
      <c r="Y393" s="189">
        <v>0</v>
      </c>
      <c r="Z393" s="189">
        <f t="shared" si="63"/>
        <v>0</v>
      </c>
    </row>
    <row r="394" spans="1:26" x14ac:dyDescent="0.35">
      <c r="A394" s="176">
        <v>426</v>
      </c>
      <c r="B394" s="177"/>
      <c r="C394" s="178"/>
      <c r="D394" s="178"/>
      <c r="E394" s="178"/>
      <c r="F394" s="179"/>
      <c r="G394" s="179"/>
      <c r="H394" s="206"/>
      <c r="I394" s="179"/>
      <c r="J394" s="179"/>
      <c r="K394" s="179"/>
      <c r="L394" s="202">
        <v>0</v>
      </c>
      <c r="M394" s="200">
        <v>0</v>
      </c>
      <c r="N394" s="24">
        <f t="shared" si="59"/>
        <v>0</v>
      </c>
      <c r="O394" s="196">
        <f>IFERROR(IF(($N$4-VLOOKUP(REGISTRO_MAESTRO_m3!X394,DISTRIBUCION_CONTENEDORES!$A$3:$D$530,2) ) &lt; 0,0,($N$4-VLOOKUP(X394,DISTRIBUCION_CONTENEDORES!$A$3:$D$530,2) ) * (M394/VLOOKUP(X394,DISTRIBUCION_CONTENEDORES!$A$3:$D$530,2))),0) *$N$5</f>
        <v>0</v>
      </c>
      <c r="P394" s="194">
        <f t="shared" si="64"/>
        <v>0</v>
      </c>
      <c r="Q394" s="190">
        <f t="shared" si="65"/>
        <v>0</v>
      </c>
      <c r="R394" s="188">
        <f t="shared" si="60"/>
        <v>0</v>
      </c>
      <c r="S394" s="213">
        <v>0</v>
      </c>
      <c r="T394" s="191">
        <f t="shared" si="61"/>
        <v>0</v>
      </c>
      <c r="U394" s="187">
        <f t="shared" si="66"/>
        <v>0</v>
      </c>
      <c r="V394" s="203">
        <f t="shared" si="62"/>
        <v>0</v>
      </c>
      <c r="W394" s="56">
        <f t="shared" si="67"/>
        <v>0</v>
      </c>
      <c r="X394" s="207">
        <v>0</v>
      </c>
      <c r="Y394" s="189">
        <v>0</v>
      </c>
      <c r="Z394" s="189">
        <f t="shared" si="63"/>
        <v>0</v>
      </c>
    </row>
    <row r="395" spans="1:26" x14ac:dyDescent="0.35">
      <c r="A395" s="176">
        <v>427</v>
      </c>
      <c r="B395" s="177"/>
      <c r="C395" s="178"/>
      <c r="D395" s="178"/>
      <c r="E395" s="178"/>
      <c r="F395" s="179"/>
      <c r="G395" s="179"/>
      <c r="H395" s="206"/>
      <c r="I395" s="179"/>
      <c r="J395" s="179"/>
      <c r="K395" s="179"/>
      <c r="L395" s="202">
        <v>0</v>
      </c>
      <c r="M395" s="200">
        <v>0</v>
      </c>
      <c r="N395" s="24">
        <f t="shared" si="59"/>
        <v>0</v>
      </c>
      <c r="O395" s="196">
        <f>IFERROR(IF(($N$4-VLOOKUP(REGISTRO_MAESTRO_m3!X395,DISTRIBUCION_CONTENEDORES!$A$3:$D$530,2) ) &lt; 0,0,($N$4-VLOOKUP(X395,DISTRIBUCION_CONTENEDORES!$A$3:$D$530,2) ) * (M395/VLOOKUP(X395,DISTRIBUCION_CONTENEDORES!$A$3:$D$530,2))),0) *$N$5</f>
        <v>0</v>
      </c>
      <c r="P395" s="194">
        <f t="shared" si="64"/>
        <v>0</v>
      </c>
      <c r="Q395" s="190">
        <f t="shared" si="65"/>
        <v>0</v>
      </c>
      <c r="R395" s="188">
        <f t="shared" si="60"/>
        <v>0</v>
      </c>
      <c r="S395" s="213">
        <v>0</v>
      </c>
      <c r="T395" s="191">
        <f t="shared" si="61"/>
        <v>0</v>
      </c>
      <c r="U395" s="187">
        <f t="shared" si="66"/>
        <v>0</v>
      </c>
      <c r="V395" s="203">
        <f t="shared" si="62"/>
        <v>0</v>
      </c>
      <c r="W395" s="56">
        <f t="shared" si="67"/>
        <v>0</v>
      </c>
      <c r="X395" s="207">
        <v>0</v>
      </c>
      <c r="Y395" s="189">
        <v>0</v>
      </c>
      <c r="Z395" s="189">
        <f t="shared" si="63"/>
        <v>0</v>
      </c>
    </row>
    <row r="396" spans="1:26" x14ac:dyDescent="0.35">
      <c r="A396" s="176">
        <v>428</v>
      </c>
      <c r="B396" s="177"/>
      <c r="C396" s="178"/>
      <c r="D396" s="178"/>
      <c r="E396" s="178"/>
      <c r="F396" s="179"/>
      <c r="G396" s="179"/>
      <c r="H396" s="206"/>
      <c r="I396" s="179"/>
      <c r="J396" s="179"/>
      <c r="K396" s="179"/>
      <c r="L396" s="202">
        <v>0</v>
      </c>
      <c r="M396" s="200">
        <v>0</v>
      </c>
      <c r="N396" s="24">
        <f t="shared" si="59"/>
        <v>0</v>
      </c>
      <c r="O396" s="196">
        <f>IFERROR(IF(($N$4-VLOOKUP(REGISTRO_MAESTRO_m3!X396,DISTRIBUCION_CONTENEDORES!$A$3:$D$530,2) ) &lt; 0,0,($N$4-VLOOKUP(X396,DISTRIBUCION_CONTENEDORES!$A$3:$D$530,2) ) * (M396/VLOOKUP(X396,DISTRIBUCION_CONTENEDORES!$A$3:$D$530,2))),0) *$N$5</f>
        <v>0</v>
      </c>
      <c r="P396" s="194">
        <f t="shared" si="64"/>
        <v>0</v>
      </c>
      <c r="Q396" s="190">
        <f t="shared" si="65"/>
        <v>0</v>
      </c>
      <c r="R396" s="188">
        <f t="shared" si="60"/>
        <v>0</v>
      </c>
      <c r="S396" s="213">
        <v>0</v>
      </c>
      <c r="T396" s="191">
        <f t="shared" si="61"/>
        <v>0</v>
      </c>
      <c r="U396" s="187">
        <f t="shared" si="66"/>
        <v>0</v>
      </c>
      <c r="V396" s="203">
        <f t="shared" si="62"/>
        <v>0</v>
      </c>
      <c r="W396" s="56">
        <f t="shared" si="67"/>
        <v>0</v>
      </c>
      <c r="X396" s="207">
        <v>0</v>
      </c>
      <c r="Y396" s="189">
        <v>0</v>
      </c>
      <c r="Z396" s="189">
        <f t="shared" si="63"/>
        <v>0</v>
      </c>
    </row>
    <row r="397" spans="1:26" x14ac:dyDescent="0.35">
      <c r="A397" s="176">
        <v>429</v>
      </c>
      <c r="B397" s="177"/>
      <c r="C397" s="178"/>
      <c r="D397" s="178"/>
      <c r="E397" s="178"/>
      <c r="F397" s="179"/>
      <c r="G397" s="179"/>
      <c r="H397" s="206"/>
      <c r="I397" s="179"/>
      <c r="J397" s="179"/>
      <c r="K397" s="179"/>
      <c r="L397" s="202">
        <v>0</v>
      </c>
      <c r="M397" s="200">
        <v>0</v>
      </c>
      <c r="N397" s="24">
        <f t="shared" si="59"/>
        <v>0</v>
      </c>
      <c r="O397" s="196">
        <f>IFERROR(IF(($N$4-VLOOKUP(REGISTRO_MAESTRO_m3!X397,DISTRIBUCION_CONTENEDORES!$A$3:$D$530,2) ) &lt; 0,0,($N$4-VLOOKUP(X397,DISTRIBUCION_CONTENEDORES!$A$3:$D$530,2) ) * (M397/VLOOKUP(X397,DISTRIBUCION_CONTENEDORES!$A$3:$D$530,2))),0) *$N$5</f>
        <v>0</v>
      </c>
      <c r="P397" s="194">
        <f t="shared" si="64"/>
        <v>0</v>
      </c>
      <c r="Q397" s="190">
        <f t="shared" si="65"/>
        <v>0</v>
      </c>
      <c r="R397" s="188">
        <f t="shared" si="60"/>
        <v>0</v>
      </c>
      <c r="S397" s="213">
        <v>0</v>
      </c>
      <c r="T397" s="191">
        <f t="shared" si="61"/>
        <v>0</v>
      </c>
      <c r="U397" s="187">
        <f t="shared" si="66"/>
        <v>0</v>
      </c>
      <c r="V397" s="203">
        <f t="shared" si="62"/>
        <v>0</v>
      </c>
      <c r="W397" s="56">
        <f t="shared" si="67"/>
        <v>0</v>
      </c>
      <c r="X397" s="207">
        <v>0</v>
      </c>
      <c r="Y397" s="189">
        <v>0</v>
      </c>
      <c r="Z397" s="189">
        <f t="shared" si="63"/>
        <v>0</v>
      </c>
    </row>
    <row r="398" spans="1:26" x14ac:dyDescent="0.35">
      <c r="A398" s="176">
        <v>430</v>
      </c>
      <c r="B398" s="177"/>
      <c r="C398" s="178"/>
      <c r="D398" s="178"/>
      <c r="E398" s="178"/>
      <c r="F398" s="179"/>
      <c r="G398" s="179"/>
      <c r="H398" s="206"/>
      <c r="I398" s="179"/>
      <c r="J398" s="179"/>
      <c r="K398" s="179"/>
      <c r="L398" s="202">
        <v>0</v>
      </c>
      <c r="M398" s="200">
        <v>0</v>
      </c>
      <c r="N398" s="24">
        <f t="shared" si="59"/>
        <v>0</v>
      </c>
      <c r="O398" s="196">
        <f>IFERROR(IF(($N$4-VLOOKUP(REGISTRO_MAESTRO_m3!X398,DISTRIBUCION_CONTENEDORES!$A$3:$D$530,2) ) &lt; 0,0,($N$4-VLOOKUP(X398,DISTRIBUCION_CONTENEDORES!$A$3:$D$530,2) ) * (M398/VLOOKUP(X398,DISTRIBUCION_CONTENEDORES!$A$3:$D$530,2))),0) *$N$5</f>
        <v>0</v>
      </c>
      <c r="P398" s="194">
        <f t="shared" si="64"/>
        <v>0</v>
      </c>
      <c r="Q398" s="190">
        <f t="shared" si="65"/>
        <v>0</v>
      </c>
      <c r="R398" s="188">
        <f t="shared" si="60"/>
        <v>0</v>
      </c>
      <c r="S398" s="213">
        <v>0</v>
      </c>
      <c r="T398" s="191">
        <f t="shared" si="61"/>
        <v>0</v>
      </c>
      <c r="U398" s="187">
        <f t="shared" si="66"/>
        <v>0</v>
      </c>
      <c r="V398" s="203">
        <f t="shared" si="62"/>
        <v>0</v>
      </c>
      <c r="W398" s="56">
        <f t="shared" si="67"/>
        <v>0</v>
      </c>
      <c r="X398" s="207">
        <v>0</v>
      </c>
      <c r="Y398" s="189">
        <v>0</v>
      </c>
      <c r="Z398" s="189">
        <f t="shared" si="63"/>
        <v>0</v>
      </c>
    </row>
    <row r="399" spans="1:26" x14ac:dyDescent="0.35">
      <c r="A399" s="176">
        <v>431</v>
      </c>
      <c r="B399" s="177"/>
      <c r="C399" s="178"/>
      <c r="D399" s="178"/>
      <c r="E399" s="178"/>
      <c r="F399" s="179"/>
      <c r="G399" s="179"/>
      <c r="H399" s="206"/>
      <c r="I399" s="179"/>
      <c r="J399" s="179"/>
      <c r="K399" s="179"/>
      <c r="L399" s="202">
        <v>0</v>
      </c>
      <c r="M399" s="200">
        <v>0</v>
      </c>
      <c r="N399" s="24">
        <f t="shared" si="59"/>
        <v>0</v>
      </c>
      <c r="O399" s="196">
        <f>IFERROR(IF(($N$4-VLOOKUP(REGISTRO_MAESTRO_m3!X399,DISTRIBUCION_CONTENEDORES!$A$3:$D$530,2) ) &lt; 0,0,($N$4-VLOOKUP(X399,DISTRIBUCION_CONTENEDORES!$A$3:$D$530,2) ) * (M399/VLOOKUP(X399,DISTRIBUCION_CONTENEDORES!$A$3:$D$530,2))),0) *$N$5</f>
        <v>0</v>
      </c>
      <c r="P399" s="194">
        <f t="shared" si="64"/>
        <v>0</v>
      </c>
      <c r="Q399" s="190">
        <f t="shared" si="65"/>
        <v>0</v>
      </c>
      <c r="R399" s="188">
        <f t="shared" si="60"/>
        <v>0</v>
      </c>
      <c r="S399" s="213">
        <v>0</v>
      </c>
      <c r="T399" s="191">
        <f t="shared" si="61"/>
        <v>0</v>
      </c>
      <c r="U399" s="187">
        <f t="shared" si="66"/>
        <v>0</v>
      </c>
      <c r="V399" s="203">
        <f t="shared" si="62"/>
        <v>0</v>
      </c>
      <c r="W399" s="56">
        <f t="shared" si="67"/>
        <v>0</v>
      </c>
      <c r="X399" s="207">
        <v>0</v>
      </c>
      <c r="Y399" s="189">
        <v>0</v>
      </c>
      <c r="Z399" s="189">
        <f t="shared" si="63"/>
        <v>0</v>
      </c>
    </row>
    <row r="400" spans="1:26" x14ac:dyDescent="0.35">
      <c r="A400" s="176">
        <v>432</v>
      </c>
      <c r="B400" s="177"/>
      <c r="C400" s="178"/>
      <c r="D400" s="178"/>
      <c r="E400" s="178"/>
      <c r="F400" s="179"/>
      <c r="G400" s="179"/>
      <c r="H400" s="206"/>
      <c r="I400" s="179"/>
      <c r="J400" s="179"/>
      <c r="K400" s="179"/>
      <c r="L400" s="202">
        <v>0</v>
      </c>
      <c r="M400" s="200">
        <v>0</v>
      </c>
      <c r="N400" s="24">
        <f t="shared" si="59"/>
        <v>0</v>
      </c>
      <c r="O400" s="196">
        <f>IFERROR(IF(($N$4-VLOOKUP(REGISTRO_MAESTRO_m3!X400,DISTRIBUCION_CONTENEDORES!$A$3:$D$530,2) ) &lt; 0,0,($N$4-VLOOKUP(X400,DISTRIBUCION_CONTENEDORES!$A$3:$D$530,2) ) * (M400/VLOOKUP(X400,DISTRIBUCION_CONTENEDORES!$A$3:$D$530,2))),0) *$N$5</f>
        <v>0</v>
      </c>
      <c r="P400" s="194">
        <f t="shared" si="64"/>
        <v>0</v>
      </c>
      <c r="Q400" s="190">
        <f t="shared" si="65"/>
        <v>0</v>
      </c>
      <c r="R400" s="188">
        <f t="shared" si="60"/>
        <v>0</v>
      </c>
      <c r="S400" s="213">
        <v>0</v>
      </c>
      <c r="T400" s="191">
        <f t="shared" si="61"/>
        <v>0</v>
      </c>
      <c r="U400" s="187">
        <f t="shared" si="66"/>
        <v>0</v>
      </c>
      <c r="V400" s="203">
        <f t="shared" si="62"/>
        <v>0</v>
      </c>
      <c r="W400" s="56">
        <f t="shared" si="67"/>
        <v>0</v>
      </c>
      <c r="X400" s="207">
        <v>0</v>
      </c>
      <c r="Y400" s="189">
        <v>0</v>
      </c>
      <c r="Z400" s="189">
        <f t="shared" si="63"/>
        <v>0</v>
      </c>
    </row>
    <row r="401" spans="1:26" x14ac:dyDescent="0.35">
      <c r="A401" s="176">
        <v>433</v>
      </c>
      <c r="B401" s="177"/>
      <c r="C401" s="178"/>
      <c r="D401" s="178"/>
      <c r="E401" s="178"/>
      <c r="F401" s="179"/>
      <c r="G401" s="179"/>
      <c r="H401" s="206"/>
      <c r="I401" s="179"/>
      <c r="J401" s="179"/>
      <c r="K401" s="179"/>
      <c r="L401" s="202">
        <v>0</v>
      </c>
      <c r="M401" s="200">
        <v>0</v>
      </c>
      <c r="N401" s="24">
        <f t="shared" si="59"/>
        <v>0</v>
      </c>
      <c r="O401" s="196">
        <f>IFERROR(IF(($N$4-VLOOKUP(REGISTRO_MAESTRO_m3!X401,DISTRIBUCION_CONTENEDORES!$A$3:$D$530,2) ) &lt; 0,0,($N$4-VLOOKUP(X401,DISTRIBUCION_CONTENEDORES!$A$3:$D$530,2) ) * (M401/VLOOKUP(X401,DISTRIBUCION_CONTENEDORES!$A$3:$D$530,2))),0) *$N$5</f>
        <v>0</v>
      </c>
      <c r="P401" s="194">
        <f t="shared" si="64"/>
        <v>0</v>
      </c>
      <c r="Q401" s="190">
        <f t="shared" si="65"/>
        <v>0</v>
      </c>
      <c r="R401" s="188">
        <f t="shared" si="60"/>
        <v>0</v>
      </c>
      <c r="S401" s="213">
        <v>0</v>
      </c>
      <c r="T401" s="191">
        <f t="shared" si="61"/>
        <v>0</v>
      </c>
      <c r="U401" s="187">
        <f t="shared" si="66"/>
        <v>0</v>
      </c>
      <c r="V401" s="203">
        <f t="shared" si="62"/>
        <v>0</v>
      </c>
      <c r="W401" s="56">
        <f t="shared" si="67"/>
        <v>0</v>
      </c>
      <c r="X401" s="207">
        <v>0</v>
      </c>
      <c r="Y401" s="189">
        <v>0</v>
      </c>
      <c r="Z401" s="189">
        <f t="shared" si="63"/>
        <v>0</v>
      </c>
    </row>
    <row r="402" spans="1:26" x14ac:dyDescent="0.35">
      <c r="A402" s="176">
        <v>434</v>
      </c>
      <c r="B402" s="177"/>
      <c r="C402" s="178"/>
      <c r="D402" s="178"/>
      <c r="E402" s="178"/>
      <c r="F402" s="179"/>
      <c r="G402" s="179"/>
      <c r="H402" s="206"/>
      <c r="I402" s="179"/>
      <c r="J402" s="179"/>
      <c r="K402" s="179"/>
      <c r="L402" s="202">
        <v>0</v>
      </c>
      <c r="M402" s="200">
        <v>0</v>
      </c>
      <c r="N402" s="24">
        <f t="shared" si="59"/>
        <v>0</v>
      </c>
      <c r="O402" s="196">
        <f>IFERROR(IF(($N$4-VLOOKUP(REGISTRO_MAESTRO_m3!X402,DISTRIBUCION_CONTENEDORES!$A$3:$D$530,2) ) &lt; 0,0,($N$4-VLOOKUP(X402,DISTRIBUCION_CONTENEDORES!$A$3:$D$530,2) ) * (M402/VLOOKUP(X402,DISTRIBUCION_CONTENEDORES!$A$3:$D$530,2))),0) *$N$5</f>
        <v>0</v>
      </c>
      <c r="P402" s="194">
        <f t="shared" si="64"/>
        <v>0</v>
      </c>
      <c r="Q402" s="190">
        <f t="shared" si="65"/>
        <v>0</v>
      </c>
      <c r="R402" s="188">
        <f t="shared" si="60"/>
        <v>0</v>
      </c>
      <c r="S402" s="213">
        <v>0</v>
      </c>
      <c r="T402" s="191">
        <f t="shared" si="61"/>
        <v>0</v>
      </c>
      <c r="U402" s="187">
        <f t="shared" si="66"/>
        <v>0</v>
      </c>
      <c r="V402" s="203">
        <f t="shared" si="62"/>
        <v>0</v>
      </c>
      <c r="W402" s="56">
        <f t="shared" si="67"/>
        <v>0</v>
      </c>
      <c r="X402" s="207">
        <v>0</v>
      </c>
      <c r="Y402" s="189">
        <v>0</v>
      </c>
      <c r="Z402" s="189">
        <f t="shared" si="63"/>
        <v>0</v>
      </c>
    </row>
    <row r="403" spans="1:26" x14ac:dyDescent="0.35">
      <c r="A403" s="176">
        <v>435</v>
      </c>
      <c r="B403" s="177"/>
      <c r="C403" s="178"/>
      <c r="D403" s="178"/>
      <c r="E403" s="178"/>
      <c r="F403" s="179"/>
      <c r="G403" s="179"/>
      <c r="H403" s="206"/>
      <c r="I403" s="179"/>
      <c r="J403" s="179"/>
      <c r="K403" s="179"/>
      <c r="L403" s="202">
        <v>0</v>
      </c>
      <c r="M403" s="200">
        <v>0</v>
      </c>
      <c r="N403" s="24">
        <f t="shared" si="59"/>
        <v>0</v>
      </c>
      <c r="O403" s="196">
        <f>IFERROR(IF(($N$4-VLOOKUP(REGISTRO_MAESTRO_m3!X403,DISTRIBUCION_CONTENEDORES!$A$3:$D$530,2) ) &lt; 0,0,($N$4-VLOOKUP(X403,DISTRIBUCION_CONTENEDORES!$A$3:$D$530,2) ) * (M403/VLOOKUP(X403,DISTRIBUCION_CONTENEDORES!$A$3:$D$530,2))),0) *$N$5</f>
        <v>0</v>
      </c>
      <c r="P403" s="194">
        <f t="shared" si="64"/>
        <v>0</v>
      </c>
      <c r="Q403" s="190">
        <f t="shared" si="65"/>
        <v>0</v>
      </c>
      <c r="R403" s="188">
        <f t="shared" si="60"/>
        <v>0</v>
      </c>
      <c r="S403" s="213">
        <v>0</v>
      </c>
      <c r="T403" s="191">
        <f t="shared" si="61"/>
        <v>0</v>
      </c>
      <c r="U403" s="187">
        <f t="shared" si="66"/>
        <v>0</v>
      </c>
      <c r="V403" s="203">
        <f t="shared" si="62"/>
        <v>0</v>
      </c>
      <c r="W403" s="56">
        <f t="shared" si="67"/>
        <v>0</v>
      </c>
      <c r="X403" s="207">
        <v>0</v>
      </c>
      <c r="Y403" s="189">
        <v>0</v>
      </c>
      <c r="Z403" s="189">
        <f t="shared" si="63"/>
        <v>0</v>
      </c>
    </row>
    <row r="404" spans="1:26" x14ac:dyDescent="0.35">
      <c r="A404" s="176">
        <v>436</v>
      </c>
      <c r="B404" s="177"/>
      <c r="C404" s="178"/>
      <c r="D404" s="178"/>
      <c r="E404" s="178"/>
      <c r="F404" s="179"/>
      <c r="G404" s="179"/>
      <c r="H404" s="206"/>
      <c r="I404" s="179"/>
      <c r="J404" s="179"/>
      <c r="K404" s="179"/>
      <c r="L404" s="202">
        <v>0</v>
      </c>
      <c r="M404" s="200">
        <v>0</v>
      </c>
      <c r="N404" s="24">
        <f t="shared" si="59"/>
        <v>0</v>
      </c>
      <c r="O404" s="196">
        <f>IFERROR(IF(($N$4-VLOOKUP(REGISTRO_MAESTRO_m3!X404,DISTRIBUCION_CONTENEDORES!$A$3:$D$530,2) ) &lt; 0,0,($N$4-VLOOKUP(X404,DISTRIBUCION_CONTENEDORES!$A$3:$D$530,2) ) * (M404/VLOOKUP(X404,DISTRIBUCION_CONTENEDORES!$A$3:$D$530,2))),0) *$N$5</f>
        <v>0</v>
      </c>
      <c r="P404" s="194">
        <f t="shared" si="64"/>
        <v>0</v>
      </c>
      <c r="Q404" s="190">
        <f t="shared" si="65"/>
        <v>0</v>
      </c>
      <c r="R404" s="188">
        <f t="shared" si="60"/>
        <v>0</v>
      </c>
      <c r="S404" s="213">
        <v>0</v>
      </c>
      <c r="T404" s="191">
        <f t="shared" si="61"/>
        <v>0</v>
      </c>
      <c r="U404" s="187">
        <f t="shared" si="66"/>
        <v>0</v>
      </c>
      <c r="V404" s="203">
        <f t="shared" si="62"/>
        <v>0</v>
      </c>
      <c r="W404" s="56">
        <f t="shared" si="67"/>
        <v>0</v>
      </c>
      <c r="X404" s="207">
        <v>0</v>
      </c>
      <c r="Y404" s="189">
        <v>0</v>
      </c>
      <c r="Z404" s="189">
        <f t="shared" si="63"/>
        <v>0</v>
      </c>
    </row>
    <row r="405" spans="1:26" x14ac:dyDescent="0.35">
      <c r="A405" s="176">
        <v>437</v>
      </c>
      <c r="B405" s="177"/>
      <c r="C405" s="178"/>
      <c r="D405" s="178"/>
      <c r="E405" s="178"/>
      <c r="F405" s="179"/>
      <c r="G405" s="179"/>
      <c r="H405" s="206"/>
      <c r="I405" s="179"/>
      <c r="J405" s="179"/>
      <c r="K405" s="179"/>
      <c r="L405" s="202">
        <v>0</v>
      </c>
      <c r="M405" s="200">
        <v>0</v>
      </c>
      <c r="N405" s="24">
        <f t="shared" si="59"/>
        <v>0</v>
      </c>
      <c r="O405" s="196">
        <f>IFERROR(IF(($N$4-VLOOKUP(REGISTRO_MAESTRO_m3!X405,DISTRIBUCION_CONTENEDORES!$A$3:$D$530,2) ) &lt; 0,0,($N$4-VLOOKUP(X405,DISTRIBUCION_CONTENEDORES!$A$3:$D$530,2) ) * (M405/VLOOKUP(X405,DISTRIBUCION_CONTENEDORES!$A$3:$D$530,2))),0) *$N$5</f>
        <v>0</v>
      </c>
      <c r="P405" s="194">
        <f t="shared" si="64"/>
        <v>0</v>
      </c>
      <c r="Q405" s="190">
        <f t="shared" si="65"/>
        <v>0</v>
      </c>
      <c r="R405" s="188">
        <f t="shared" si="60"/>
        <v>0</v>
      </c>
      <c r="S405" s="213">
        <v>0</v>
      </c>
      <c r="T405" s="191">
        <f t="shared" si="61"/>
        <v>0</v>
      </c>
      <c r="U405" s="187">
        <f t="shared" si="66"/>
        <v>0</v>
      </c>
      <c r="V405" s="203">
        <f t="shared" si="62"/>
        <v>0</v>
      </c>
      <c r="W405" s="56">
        <f t="shared" si="67"/>
        <v>0</v>
      </c>
      <c r="X405" s="207">
        <v>0</v>
      </c>
      <c r="Y405" s="189">
        <v>0</v>
      </c>
      <c r="Z405" s="189">
        <f t="shared" si="63"/>
        <v>0</v>
      </c>
    </row>
    <row r="406" spans="1:26" x14ac:dyDescent="0.35">
      <c r="A406" s="176">
        <v>438</v>
      </c>
      <c r="B406" s="177"/>
      <c r="C406" s="178"/>
      <c r="D406" s="178"/>
      <c r="E406" s="178"/>
      <c r="F406" s="179"/>
      <c r="G406" s="179"/>
      <c r="H406" s="206"/>
      <c r="I406" s="179"/>
      <c r="J406" s="179"/>
      <c r="K406" s="179"/>
      <c r="L406" s="202">
        <v>0</v>
      </c>
      <c r="M406" s="200">
        <v>0</v>
      </c>
      <c r="N406" s="24">
        <f t="shared" si="59"/>
        <v>0</v>
      </c>
      <c r="O406" s="196">
        <f>IFERROR(IF(($N$4-VLOOKUP(REGISTRO_MAESTRO_m3!X406,DISTRIBUCION_CONTENEDORES!$A$3:$D$530,2) ) &lt; 0,0,($N$4-VLOOKUP(X406,DISTRIBUCION_CONTENEDORES!$A$3:$D$530,2) ) * (M406/VLOOKUP(X406,DISTRIBUCION_CONTENEDORES!$A$3:$D$530,2))),0) *$N$5</f>
        <v>0</v>
      </c>
      <c r="P406" s="194">
        <f t="shared" si="64"/>
        <v>0</v>
      </c>
      <c r="Q406" s="190">
        <f t="shared" si="65"/>
        <v>0</v>
      </c>
      <c r="R406" s="188">
        <f t="shared" si="60"/>
        <v>0</v>
      </c>
      <c r="S406" s="213">
        <v>0</v>
      </c>
      <c r="T406" s="191">
        <f t="shared" si="61"/>
        <v>0</v>
      </c>
      <c r="U406" s="187">
        <f t="shared" si="66"/>
        <v>0</v>
      </c>
      <c r="V406" s="203">
        <f t="shared" si="62"/>
        <v>0</v>
      </c>
      <c r="W406" s="56">
        <f t="shared" si="67"/>
        <v>0</v>
      </c>
      <c r="X406" s="207">
        <v>0</v>
      </c>
      <c r="Y406" s="189">
        <v>0</v>
      </c>
      <c r="Z406" s="189">
        <f t="shared" si="63"/>
        <v>0</v>
      </c>
    </row>
    <row r="407" spans="1:26" x14ac:dyDescent="0.35">
      <c r="A407" s="176">
        <v>439</v>
      </c>
      <c r="B407" s="177"/>
      <c r="C407" s="178"/>
      <c r="D407" s="178"/>
      <c r="E407" s="178"/>
      <c r="F407" s="179"/>
      <c r="G407" s="179"/>
      <c r="H407" s="206"/>
      <c r="I407" s="179"/>
      <c r="J407" s="179"/>
      <c r="K407" s="179"/>
      <c r="L407" s="202">
        <v>0</v>
      </c>
      <c r="M407" s="200">
        <v>0</v>
      </c>
      <c r="N407" s="24">
        <f t="shared" si="59"/>
        <v>0</v>
      </c>
      <c r="O407" s="196">
        <f>IFERROR(IF(($N$4-VLOOKUP(REGISTRO_MAESTRO_m3!X407,DISTRIBUCION_CONTENEDORES!$A$3:$D$530,2) ) &lt; 0,0,($N$4-VLOOKUP(X407,DISTRIBUCION_CONTENEDORES!$A$3:$D$530,2) ) * (M407/VLOOKUP(X407,DISTRIBUCION_CONTENEDORES!$A$3:$D$530,2))),0) *$N$5</f>
        <v>0</v>
      </c>
      <c r="P407" s="194">
        <f t="shared" si="64"/>
        <v>0</v>
      </c>
      <c r="Q407" s="190">
        <f t="shared" si="65"/>
        <v>0</v>
      </c>
      <c r="R407" s="188">
        <f t="shared" si="60"/>
        <v>0</v>
      </c>
      <c r="S407" s="213">
        <v>0</v>
      </c>
      <c r="T407" s="191">
        <f t="shared" si="61"/>
        <v>0</v>
      </c>
      <c r="U407" s="187">
        <f t="shared" si="66"/>
        <v>0</v>
      </c>
      <c r="V407" s="203">
        <f t="shared" si="62"/>
        <v>0</v>
      </c>
      <c r="W407" s="56">
        <f t="shared" si="67"/>
        <v>0</v>
      </c>
      <c r="X407" s="207">
        <v>0</v>
      </c>
      <c r="Y407" s="189">
        <v>0</v>
      </c>
      <c r="Z407" s="189">
        <f t="shared" si="63"/>
        <v>0</v>
      </c>
    </row>
    <row r="408" spans="1:26" x14ac:dyDescent="0.35">
      <c r="A408" s="176">
        <v>440</v>
      </c>
      <c r="B408" s="177"/>
      <c r="C408" s="178"/>
      <c r="D408" s="178"/>
      <c r="E408" s="178"/>
      <c r="F408" s="179"/>
      <c r="G408" s="179"/>
      <c r="H408" s="206"/>
      <c r="I408" s="179"/>
      <c r="J408" s="179"/>
      <c r="K408" s="179"/>
      <c r="L408" s="202">
        <v>0</v>
      </c>
      <c r="M408" s="200">
        <v>0</v>
      </c>
      <c r="N408" s="24">
        <f t="shared" si="59"/>
        <v>0</v>
      </c>
      <c r="O408" s="196">
        <f>IFERROR(IF(($N$4-VLOOKUP(REGISTRO_MAESTRO_m3!X408,DISTRIBUCION_CONTENEDORES!$A$3:$D$530,2) ) &lt; 0,0,($N$4-VLOOKUP(X408,DISTRIBUCION_CONTENEDORES!$A$3:$D$530,2) ) * (M408/VLOOKUP(X408,DISTRIBUCION_CONTENEDORES!$A$3:$D$530,2))),0) *$N$5</f>
        <v>0</v>
      </c>
      <c r="P408" s="194">
        <f t="shared" si="64"/>
        <v>0</v>
      </c>
      <c r="Q408" s="190">
        <f t="shared" si="65"/>
        <v>0</v>
      </c>
      <c r="R408" s="188">
        <f t="shared" si="60"/>
        <v>0</v>
      </c>
      <c r="S408" s="213">
        <v>0</v>
      </c>
      <c r="T408" s="191">
        <f t="shared" si="61"/>
        <v>0</v>
      </c>
      <c r="U408" s="187">
        <f t="shared" si="66"/>
        <v>0</v>
      </c>
      <c r="V408" s="203">
        <f t="shared" si="62"/>
        <v>0</v>
      </c>
      <c r="W408" s="56">
        <f t="shared" si="67"/>
        <v>0</v>
      </c>
      <c r="X408" s="207">
        <v>0</v>
      </c>
      <c r="Y408" s="189">
        <v>0</v>
      </c>
      <c r="Z408" s="189">
        <f t="shared" si="63"/>
        <v>0</v>
      </c>
    </row>
    <row r="409" spans="1:26" x14ac:dyDescent="0.35">
      <c r="A409" s="176">
        <v>441</v>
      </c>
      <c r="B409" s="177"/>
      <c r="C409" s="178"/>
      <c r="D409" s="178"/>
      <c r="E409" s="178"/>
      <c r="F409" s="179"/>
      <c r="G409" s="179"/>
      <c r="H409" s="206"/>
      <c r="I409" s="179"/>
      <c r="J409" s="179"/>
      <c r="K409" s="179"/>
      <c r="L409" s="202">
        <v>0</v>
      </c>
      <c r="M409" s="200">
        <v>0</v>
      </c>
      <c r="N409" s="24">
        <f t="shared" si="59"/>
        <v>0</v>
      </c>
      <c r="O409" s="196">
        <f>IFERROR(IF(($N$4-VLOOKUP(REGISTRO_MAESTRO_m3!X409,DISTRIBUCION_CONTENEDORES!$A$3:$D$530,2) ) &lt; 0,0,($N$4-VLOOKUP(X409,DISTRIBUCION_CONTENEDORES!$A$3:$D$530,2) ) * (M409/VLOOKUP(X409,DISTRIBUCION_CONTENEDORES!$A$3:$D$530,2))),0) *$N$5</f>
        <v>0</v>
      </c>
      <c r="P409" s="194">
        <f t="shared" si="64"/>
        <v>0</v>
      </c>
      <c r="Q409" s="190">
        <f t="shared" si="65"/>
        <v>0</v>
      </c>
      <c r="R409" s="188">
        <f t="shared" si="60"/>
        <v>0</v>
      </c>
      <c r="S409" s="213">
        <v>0</v>
      </c>
      <c r="T409" s="191">
        <f t="shared" si="61"/>
        <v>0</v>
      </c>
      <c r="U409" s="187">
        <f t="shared" si="66"/>
        <v>0</v>
      </c>
      <c r="V409" s="203">
        <f t="shared" si="62"/>
        <v>0</v>
      </c>
      <c r="W409" s="56">
        <f t="shared" si="67"/>
        <v>0</v>
      </c>
      <c r="X409" s="207">
        <v>0</v>
      </c>
      <c r="Y409" s="189">
        <v>0</v>
      </c>
      <c r="Z409" s="189">
        <f t="shared" si="63"/>
        <v>0</v>
      </c>
    </row>
    <row r="410" spans="1:26" x14ac:dyDescent="0.35">
      <c r="A410" s="176">
        <v>442</v>
      </c>
      <c r="B410" s="177"/>
      <c r="C410" s="178"/>
      <c r="D410" s="178"/>
      <c r="E410" s="178"/>
      <c r="F410" s="179"/>
      <c r="G410" s="179"/>
      <c r="H410" s="206"/>
      <c r="I410" s="179"/>
      <c r="J410" s="179"/>
      <c r="K410" s="179"/>
      <c r="L410" s="202">
        <v>0</v>
      </c>
      <c r="M410" s="200">
        <v>0</v>
      </c>
      <c r="N410" s="24">
        <f t="shared" si="59"/>
        <v>0</v>
      </c>
      <c r="O410" s="196">
        <f>IFERROR(IF(($N$4-VLOOKUP(REGISTRO_MAESTRO_m3!X410,DISTRIBUCION_CONTENEDORES!$A$3:$D$530,2) ) &lt; 0,0,($N$4-VLOOKUP(X410,DISTRIBUCION_CONTENEDORES!$A$3:$D$530,2) ) * (M410/VLOOKUP(X410,DISTRIBUCION_CONTENEDORES!$A$3:$D$530,2))),0) *$N$5</f>
        <v>0</v>
      </c>
      <c r="P410" s="194">
        <f t="shared" si="64"/>
        <v>0</v>
      </c>
      <c r="Q410" s="190">
        <f t="shared" si="65"/>
        <v>0</v>
      </c>
      <c r="R410" s="188">
        <f t="shared" si="60"/>
        <v>0</v>
      </c>
      <c r="S410" s="213">
        <v>0</v>
      </c>
      <c r="T410" s="191">
        <f t="shared" si="61"/>
        <v>0</v>
      </c>
      <c r="U410" s="187">
        <f t="shared" si="66"/>
        <v>0</v>
      </c>
      <c r="V410" s="203">
        <f t="shared" si="62"/>
        <v>0</v>
      </c>
      <c r="W410" s="56">
        <f t="shared" si="67"/>
        <v>0</v>
      </c>
      <c r="X410" s="207">
        <v>0</v>
      </c>
      <c r="Y410" s="189">
        <v>0</v>
      </c>
      <c r="Z410" s="189">
        <f t="shared" si="63"/>
        <v>0</v>
      </c>
    </row>
    <row r="411" spans="1:26" x14ac:dyDescent="0.35">
      <c r="A411" s="176">
        <v>443</v>
      </c>
      <c r="B411" s="177"/>
      <c r="C411" s="178"/>
      <c r="D411" s="178"/>
      <c r="E411" s="178"/>
      <c r="F411" s="179"/>
      <c r="G411" s="179"/>
      <c r="H411" s="206"/>
      <c r="I411" s="179"/>
      <c r="J411" s="179"/>
      <c r="K411" s="179"/>
      <c r="L411" s="202">
        <v>0</v>
      </c>
      <c r="M411" s="200">
        <v>0</v>
      </c>
      <c r="N411" s="24">
        <f t="shared" si="59"/>
        <v>0</v>
      </c>
      <c r="O411" s="196">
        <f>IFERROR(IF(($N$4-VLOOKUP(REGISTRO_MAESTRO_m3!X411,DISTRIBUCION_CONTENEDORES!$A$3:$D$530,2) ) &lt; 0,0,($N$4-VLOOKUP(X411,DISTRIBUCION_CONTENEDORES!$A$3:$D$530,2) ) * (M411/VLOOKUP(X411,DISTRIBUCION_CONTENEDORES!$A$3:$D$530,2))),0) *$N$5</f>
        <v>0</v>
      </c>
      <c r="P411" s="194">
        <f t="shared" si="64"/>
        <v>0</v>
      </c>
      <c r="Q411" s="190">
        <f t="shared" si="65"/>
        <v>0</v>
      </c>
      <c r="R411" s="188">
        <f t="shared" si="60"/>
        <v>0</v>
      </c>
      <c r="S411" s="213">
        <v>0</v>
      </c>
      <c r="T411" s="191">
        <f t="shared" si="61"/>
        <v>0</v>
      </c>
      <c r="U411" s="187">
        <f t="shared" si="66"/>
        <v>0</v>
      </c>
      <c r="V411" s="203">
        <f t="shared" si="62"/>
        <v>0</v>
      </c>
      <c r="W411" s="56">
        <f t="shared" si="67"/>
        <v>0</v>
      </c>
      <c r="X411" s="207">
        <v>0</v>
      </c>
      <c r="Y411" s="189">
        <v>0</v>
      </c>
      <c r="Z411" s="189">
        <f t="shared" si="63"/>
        <v>0</v>
      </c>
    </row>
    <row r="412" spans="1:26" x14ac:dyDescent="0.35">
      <c r="A412" s="176">
        <v>444</v>
      </c>
      <c r="B412" s="177"/>
      <c r="C412" s="178"/>
      <c r="D412" s="178"/>
      <c r="E412" s="178"/>
      <c r="F412" s="179"/>
      <c r="G412" s="179"/>
      <c r="H412" s="206"/>
      <c r="I412" s="179"/>
      <c r="J412" s="179"/>
      <c r="K412" s="179"/>
      <c r="L412" s="202">
        <v>0</v>
      </c>
      <c r="M412" s="200">
        <v>0</v>
      </c>
      <c r="N412" s="24">
        <f t="shared" si="59"/>
        <v>0</v>
      </c>
      <c r="O412" s="196">
        <f>IFERROR(IF(($N$4-VLOOKUP(REGISTRO_MAESTRO_m3!X412,DISTRIBUCION_CONTENEDORES!$A$3:$D$530,2) ) &lt; 0,0,($N$4-VLOOKUP(X412,DISTRIBUCION_CONTENEDORES!$A$3:$D$530,2) ) * (M412/VLOOKUP(X412,DISTRIBUCION_CONTENEDORES!$A$3:$D$530,2))),0) *$N$5</f>
        <v>0</v>
      </c>
      <c r="P412" s="194">
        <f t="shared" si="64"/>
        <v>0</v>
      </c>
      <c r="Q412" s="190">
        <f t="shared" si="65"/>
        <v>0</v>
      </c>
      <c r="R412" s="188">
        <f t="shared" si="60"/>
        <v>0</v>
      </c>
      <c r="S412" s="213">
        <v>0</v>
      </c>
      <c r="T412" s="191">
        <f t="shared" si="61"/>
        <v>0</v>
      </c>
      <c r="U412" s="187">
        <f t="shared" si="66"/>
        <v>0</v>
      </c>
      <c r="V412" s="203">
        <f t="shared" si="62"/>
        <v>0</v>
      </c>
      <c r="W412" s="56">
        <f t="shared" si="67"/>
        <v>0</v>
      </c>
      <c r="X412" s="207">
        <v>0</v>
      </c>
      <c r="Y412" s="189">
        <v>0</v>
      </c>
      <c r="Z412" s="189">
        <f t="shared" si="63"/>
        <v>0</v>
      </c>
    </row>
    <row r="413" spans="1:26" x14ac:dyDescent="0.35">
      <c r="A413" s="176">
        <v>445</v>
      </c>
      <c r="B413" s="177"/>
      <c r="C413" s="178"/>
      <c r="D413" s="178"/>
      <c r="E413" s="178"/>
      <c r="F413" s="179"/>
      <c r="G413" s="179"/>
      <c r="H413" s="206"/>
      <c r="I413" s="179"/>
      <c r="J413" s="179"/>
      <c r="K413" s="179"/>
      <c r="L413" s="202">
        <v>0</v>
      </c>
      <c r="M413" s="200">
        <v>0</v>
      </c>
      <c r="N413" s="24">
        <f t="shared" si="59"/>
        <v>0</v>
      </c>
      <c r="O413" s="196">
        <f>IFERROR(IF(($N$4-VLOOKUP(REGISTRO_MAESTRO_m3!X413,DISTRIBUCION_CONTENEDORES!$A$3:$D$530,2) ) &lt; 0,0,($N$4-VLOOKUP(X413,DISTRIBUCION_CONTENEDORES!$A$3:$D$530,2) ) * (M413/VLOOKUP(X413,DISTRIBUCION_CONTENEDORES!$A$3:$D$530,2))),0) *$N$5</f>
        <v>0</v>
      </c>
      <c r="P413" s="194">
        <f t="shared" si="64"/>
        <v>0</v>
      </c>
      <c r="Q413" s="190">
        <f t="shared" si="65"/>
        <v>0</v>
      </c>
      <c r="R413" s="188">
        <f t="shared" si="60"/>
        <v>0</v>
      </c>
      <c r="S413" s="213">
        <v>0</v>
      </c>
      <c r="T413" s="191">
        <f t="shared" si="61"/>
        <v>0</v>
      </c>
      <c r="U413" s="187">
        <f t="shared" si="66"/>
        <v>0</v>
      </c>
      <c r="V413" s="203">
        <f t="shared" si="62"/>
        <v>0</v>
      </c>
      <c r="W413" s="56">
        <f t="shared" si="67"/>
        <v>0</v>
      </c>
      <c r="X413" s="207">
        <v>0</v>
      </c>
      <c r="Y413" s="189">
        <v>0</v>
      </c>
      <c r="Z413" s="189">
        <f t="shared" si="63"/>
        <v>0</v>
      </c>
    </row>
    <row r="414" spans="1:26" x14ac:dyDescent="0.35">
      <c r="A414" s="176">
        <v>446</v>
      </c>
      <c r="B414" s="177"/>
      <c r="C414" s="178"/>
      <c r="D414" s="178"/>
      <c r="E414" s="178"/>
      <c r="F414" s="179"/>
      <c r="G414" s="179"/>
      <c r="H414" s="206"/>
      <c r="I414" s="179"/>
      <c r="J414" s="179"/>
      <c r="K414" s="179"/>
      <c r="L414" s="202">
        <v>0</v>
      </c>
      <c r="M414" s="200">
        <v>0</v>
      </c>
      <c r="N414" s="24">
        <f t="shared" si="59"/>
        <v>0</v>
      </c>
      <c r="O414" s="196">
        <f>IFERROR(IF(($N$4-VLOOKUP(REGISTRO_MAESTRO_m3!X414,DISTRIBUCION_CONTENEDORES!$A$3:$D$530,2) ) &lt; 0,0,($N$4-VLOOKUP(X414,DISTRIBUCION_CONTENEDORES!$A$3:$D$530,2) ) * (M414/VLOOKUP(X414,DISTRIBUCION_CONTENEDORES!$A$3:$D$530,2))),0) *$N$5</f>
        <v>0</v>
      </c>
      <c r="P414" s="194">
        <f t="shared" si="64"/>
        <v>0</v>
      </c>
      <c r="Q414" s="190">
        <f t="shared" si="65"/>
        <v>0</v>
      </c>
      <c r="R414" s="188">
        <f t="shared" si="60"/>
        <v>0</v>
      </c>
      <c r="S414" s="213">
        <v>0</v>
      </c>
      <c r="T414" s="191">
        <f t="shared" si="61"/>
        <v>0</v>
      </c>
      <c r="U414" s="187">
        <f t="shared" si="66"/>
        <v>0</v>
      </c>
      <c r="V414" s="203">
        <f t="shared" si="62"/>
        <v>0</v>
      </c>
      <c r="W414" s="56">
        <f t="shared" si="67"/>
        <v>0</v>
      </c>
      <c r="X414" s="207">
        <v>0</v>
      </c>
      <c r="Y414" s="189">
        <v>0</v>
      </c>
      <c r="Z414" s="189">
        <f t="shared" si="63"/>
        <v>0</v>
      </c>
    </row>
    <row r="415" spans="1:26" x14ac:dyDescent="0.35">
      <c r="A415" s="176">
        <v>447</v>
      </c>
      <c r="B415" s="177"/>
      <c r="C415" s="178"/>
      <c r="D415" s="178"/>
      <c r="E415" s="178"/>
      <c r="F415" s="179"/>
      <c r="G415" s="179"/>
      <c r="H415" s="206"/>
      <c r="I415" s="179"/>
      <c r="J415" s="179"/>
      <c r="K415" s="179"/>
      <c r="L415" s="202">
        <v>0</v>
      </c>
      <c r="M415" s="200">
        <v>0</v>
      </c>
      <c r="N415" s="24">
        <f t="shared" si="59"/>
        <v>0</v>
      </c>
      <c r="O415" s="196">
        <f>IFERROR(IF(($N$4-VLOOKUP(REGISTRO_MAESTRO_m3!X415,DISTRIBUCION_CONTENEDORES!$A$3:$D$530,2) ) &lt; 0,0,($N$4-VLOOKUP(X415,DISTRIBUCION_CONTENEDORES!$A$3:$D$530,2) ) * (M415/VLOOKUP(X415,DISTRIBUCION_CONTENEDORES!$A$3:$D$530,2))),0) *$N$5</f>
        <v>0</v>
      </c>
      <c r="P415" s="194">
        <f t="shared" si="64"/>
        <v>0</v>
      </c>
      <c r="Q415" s="190">
        <f t="shared" si="65"/>
        <v>0</v>
      </c>
      <c r="R415" s="188">
        <f t="shared" si="60"/>
        <v>0</v>
      </c>
      <c r="S415" s="213">
        <v>0</v>
      </c>
      <c r="T415" s="191">
        <f t="shared" si="61"/>
        <v>0</v>
      </c>
      <c r="U415" s="187">
        <f t="shared" si="66"/>
        <v>0</v>
      </c>
      <c r="V415" s="203">
        <f t="shared" si="62"/>
        <v>0</v>
      </c>
      <c r="W415" s="56">
        <f t="shared" si="67"/>
        <v>0</v>
      </c>
      <c r="X415" s="207">
        <v>0</v>
      </c>
      <c r="Y415" s="189">
        <v>0</v>
      </c>
      <c r="Z415" s="189">
        <f t="shared" si="63"/>
        <v>0</v>
      </c>
    </row>
    <row r="416" spans="1:26" x14ac:dyDescent="0.35">
      <c r="A416" s="176">
        <v>448</v>
      </c>
      <c r="B416" s="177"/>
      <c r="C416" s="178"/>
      <c r="D416" s="178"/>
      <c r="E416" s="178"/>
      <c r="F416" s="179"/>
      <c r="G416" s="179"/>
      <c r="H416" s="206"/>
      <c r="I416" s="179"/>
      <c r="J416" s="179"/>
      <c r="K416" s="179"/>
      <c r="L416" s="202">
        <v>0</v>
      </c>
      <c r="M416" s="200">
        <v>0</v>
      </c>
      <c r="N416" s="24">
        <f t="shared" si="59"/>
        <v>0</v>
      </c>
      <c r="O416" s="196">
        <f>IFERROR(IF(($N$4-VLOOKUP(REGISTRO_MAESTRO_m3!X416,DISTRIBUCION_CONTENEDORES!$A$3:$D$530,2) ) &lt; 0,0,($N$4-VLOOKUP(X416,DISTRIBUCION_CONTENEDORES!$A$3:$D$530,2) ) * (M416/VLOOKUP(X416,DISTRIBUCION_CONTENEDORES!$A$3:$D$530,2))),0) *$N$5</f>
        <v>0</v>
      </c>
      <c r="P416" s="194">
        <f t="shared" si="64"/>
        <v>0</v>
      </c>
      <c r="Q416" s="190">
        <f t="shared" si="65"/>
        <v>0</v>
      </c>
      <c r="R416" s="188">
        <f t="shared" si="60"/>
        <v>0</v>
      </c>
      <c r="S416" s="213">
        <v>0</v>
      </c>
      <c r="T416" s="191">
        <f t="shared" si="61"/>
        <v>0</v>
      </c>
      <c r="U416" s="187">
        <f t="shared" si="66"/>
        <v>0</v>
      </c>
      <c r="V416" s="203">
        <f t="shared" si="62"/>
        <v>0</v>
      </c>
      <c r="W416" s="56">
        <f t="shared" si="67"/>
        <v>0</v>
      </c>
      <c r="X416" s="207">
        <v>0</v>
      </c>
      <c r="Y416" s="189">
        <v>0</v>
      </c>
      <c r="Z416" s="189">
        <f t="shared" si="63"/>
        <v>0</v>
      </c>
    </row>
    <row r="417" spans="1:26" x14ac:dyDescent="0.35">
      <c r="A417" s="176">
        <v>449</v>
      </c>
      <c r="B417" s="177"/>
      <c r="C417" s="178"/>
      <c r="D417" s="178"/>
      <c r="E417" s="178"/>
      <c r="F417" s="179"/>
      <c r="G417" s="179"/>
      <c r="H417" s="206"/>
      <c r="I417" s="179"/>
      <c r="J417" s="179"/>
      <c r="K417" s="179"/>
      <c r="L417" s="202">
        <v>0</v>
      </c>
      <c r="M417" s="200">
        <v>0</v>
      </c>
      <c r="N417" s="24">
        <f t="shared" si="59"/>
        <v>0</v>
      </c>
      <c r="O417" s="196">
        <f>IFERROR(IF(($N$4-VLOOKUP(REGISTRO_MAESTRO_m3!X417,DISTRIBUCION_CONTENEDORES!$A$3:$D$530,2) ) &lt; 0,0,($N$4-VLOOKUP(X417,DISTRIBUCION_CONTENEDORES!$A$3:$D$530,2) ) * (M417/VLOOKUP(X417,DISTRIBUCION_CONTENEDORES!$A$3:$D$530,2))),0) *$N$5</f>
        <v>0</v>
      </c>
      <c r="P417" s="194">
        <f t="shared" si="64"/>
        <v>0</v>
      </c>
      <c r="Q417" s="190">
        <f t="shared" si="65"/>
        <v>0</v>
      </c>
      <c r="R417" s="188">
        <f t="shared" si="60"/>
        <v>0</v>
      </c>
      <c r="S417" s="213">
        <v>0</v>
      </c>
      <c r="T417" s="191">
        <f t="shared" si="61"/>
        <v>0</v>
      </c>
      <c r="U417" s="187">
        <f t="shared" si="66"/>
        <v>0</v>
      </c>
      <c r="V417" s="203">
        <f t="shared" si="62"/>
        <v>0</v>
      </c>
      <c r="W417" s="56">
        <f t="shared" si="67"/>
        <v>0</v>
      </c>
      <c r="X417" s="207">
        <v>0</v>
      </c>
      <c r="Y417" s="189">
        <v>0</v>
      </c>
      <c r="Z417" s="189">
        <f t="shared" si="63"/>
        <v>0</v>
      </c>
    </row>
    <row r="418" spans="1:26" x14ac:dyDescent="0.35">
      <c r="A418" s="176">
        <v>450</v>
      </c>
      <c r="B418" s="177"/>
      <c r="C418" s="178"/>
      <c r="D418" s="178"/>
      <c r="E418" s="178"/>
      <c r="F418" s="179"/>
      <c r="G418" s="179"/>
      <c r="H418" s="206"/>
      <c r="I418" s="179"/>
      <c r="J418" s="179"/>
      <c r="K418" s="179"/>
      <c r="L418" s="202">
        <v>0</v>
      </c>
      <c r="M418" s="200">
        <v>0</v>
      </c>
      <c r="N418" s="24">
        <f t="shared" si="59"/>
        <v>0</v>
      </c>
      <c r="O418" s="196">
        <f>IFERROR(IF(($N$4-VLOOKUP(REGISTRO_MAESTRO_m3!X418,DISTRIBUCION_CONTENEDORES!$A$3:$D$530,2) ) &lt; 0,0,($N$4-VLOOKUP(X418,DISTRIBUCION_CONTENEDORES!$A$3:$D$530,2) ) * (M418/VLOOKUP(X418,DISTRIBUCION_CONTENEDORES!$A$3:$D$530,2))),0) *$N$5</f>
        <v>0</v>
      </c>
      <c r="P418" s="194">
        <f t="shared" si="64"/>
        <v>0</v>
      </c>
      <c r="Q418" s="190">
        <f t="shared" si="65"/>
        <v>0</v>
      </c>
      <c r="R418" s="188">
        <f t="shared" si="60"/>
        <v>0</v>
      </c>
      <c r="S418" s="213">
        <v>0</v>
      </c>
      <c r="T418" s="191">
        <f t="shared" si="61"/>
        <v>0</v>
      </c>
      <c r="U418" s="187">
        <f t="shared" si="66"/>
        <v>0</v>
      </c>
      <c r="V418" s="203">
        <f t="shared" si="62"/>
        <v>0</v>
      </c>
      <c r="W418" s="56">
        <f t="shared" si="67"/>
        <v>0</v>
      </c>
      <c r="X418" s="207">
        <v>0</v>
      </c>
      <c r="Y418" s="189">
        <v>0</v>
      </c>
      <c r="Z418" s="189">
        <f t="shared" si="63"/>
        <v>0</v>
      </c>
    </row>
    <row r="419" spans="1:26" x14ac:dyDescent="0.35">
      <c r="A419" s="176">
        <v>451</v>
      </c>
      <c r="B419" s="177"/>
      <c r="C419" s="178"/>
      <c r="D419" s="178"/>
      <c r="E419" s="178"/>
      <c r="F419" s="179"/>
      <c r="G419" s="179"/>
      <c r="H419" s="206"/>
      <c r="I419" s="179"/>
      <c r="J419" s="179"/>
      <c r="K419" s="179"/>
      <c r="L419" s="202">
        <v>0</v>
      </c>
      <c r="M419" s="200">
        <v>0</v>
      </c>
      <c r="N419" s="24">
        <f t="shared" ref="N419" si="68">PRODUCT(M419,$N$5)</f>
        <v>0</v>
      </c>
      <c r="O419" s="196">
        <f>IFERROR(IF(($N$4-VLOOKUP(REGISTRO_MAESTRO_m3!X419,DISTRIBUCION_CONTENEDORES!$A$3:$D$530,2) ) &lt; 0,0,($N$4-VLOOKUP(X419,DISTRIBUCION_CONTENEDORES!$A$3:$D$530,2) ) * (M419/VLOOKUP(X419,DISTRIBUCION_CONTENEDORES!$A$3:$D$530,2))),0) *$N$5</f>
        <v>0</v>
      </c>
      <c r="P419" s="194">
        <f t="shared" si="64"/>
        <v>0</v>
      </c>
      <c r="Q419" s="190">
        <f t="shared" si="65"/>
        <v>0</v>
      </c>
      <c r="R419" s="188">
        <f t="shared" ref="R419" si="69">IFERROR(S419/$N$5,0)</f>
        <v>0</v>
      </c>
      <c r="S419" s="213">
        <v>0</v>
      </c>
      <c r="T419" s="191">
        <f t="shared" ref="T419" si="70">U419/$N$5</f>
        <v>0</v>
      </c>
      <c r="U419" s="187">
        <f t="shared" si="66"/>
        <v>0</v>
      </c>
      <c r="V419" s="203">
        <f t="shared" ref="V419" si="71">U419/$N$6</f>
        <v>0</v>
      </c>
      <c r="W419" s="56">
        <f t="shared" si="67"/>
        <v>0</v>
      </c>
      <c r="X419" s="207">
        <v>0</v>
      </c>
      <c r="Y419" s="189">
        <v>0</v>
      </c>
      <c r="Z419" s="189">
        <f t="shared" ref="Z419" si="72">Y419*4.75*668</f>
        <v>0</v>
      </c>
    </row>
    <row r="420" spans="1:26" x14ac:dyDescent="0.35">
      <c r="N420" s="219"/>
      <c r="P420" s="220"/>
    </row>
  </sheetData>
  <sheetProtection sheet="1" objects="1" scenarios="1" formatCells="0" formatColumns="0" formatRows="0" insertRows="0" pivotTables="0"/>
  <autoFilter ref="A14:Z419" xr:uid="{00000000-0009-0000-0000-000001000000}"/>
  <mergeCells count="2">
    <mergeCell ref="R13:S13"/>
    <mergeCell ref="T13:V13"/>
  </mergeCells>
  <phoneticPr fontId="43" type="noConversion"/>
  <conditionalFormatting sqref="Q15:Q419">
    <cfRule type="cellIs" dxfId="3" priority="8" operator="lessThan">
      <formula>0</formula>
    </cfRule>
  </conditionalFormatting>
  <dataValidations count="6">
    <dataValidation type="decimal" operator="lessThanOrEqual" allowBlank="1" showInputMessage="1" showErrorMessage="1" errorTitle="Error de edición" error="Debe especificar un valor decimal mayor o igual al valor total de m3." sqref="R15:R419" xr:uid="{00000000-0002-0000-0100-000001000000}">
      <formula1>IF(M15&lt;0,0,M15)</formula1>
    </dataValidation>
    <dataValidation allowBlank="1" showErrorMessage="1" promptTitle="ALERTA" prompt="No debe modificar el valor de esta celda." sqref="T15:W15" xr:uid="{00000000-0002-0000-0100-000004000000}"/>
    <dataValidation type="decimal" operator="greaterThanOrEqual" showInputMessage="1" showErrorMessage="1" errorTitle="Error" error="El total de m3 a despachar debe ser igual o mayor a 0." sqref="M15" xr:uid="{00000000-0002-0000-0100-000005000000}">
      <formula1>0</formula1>
    </dataValidation>
    <dataValidation type="decimal" operator="greaterThanOrEqual" showInputMessage="1" showErrorMessage="1" errorTitle="Error" error="El total de KG a despachar debe ser igual o mayor a 0." sqref="M16:M419" xr:uid="{00000000-0002-0000-0100-000000000000}">
      <formula1>0</formula1>
    </dataValidation>
    <dataValidation type="decimal" allowBlank="1" showInputMessage="1" showErrorMessage="1" errorTitle="Error" error="El valor a pagar por multicaixa no debe ser mayor que el importe pendiente de pago." sqref="S15:S419 Y15:Y419" xr:uid="{00000000-0002-0000-0100-000002000000}">
      <formula1>0</formula1>
      <formula2>Q15</formula2>
    </dataValidation>
    <dataValidation type="whole" allowBlank="1" showInputMessage="1" showErrorMessage="1" errorTitle="Error al introducir datos" error="Deben especificar un número entre 0 y la cantidad máxima de contenedores precisada." sqref="X15:X419" xr:uid="{00000000-0002-0000-0100-000003000000}">
      <formula1>0</formula1>
      <formula2>$N$9</formula2>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EXPORTAR_CONTRATO">
                <anchor moveWithCells="1" sizeWithCells="1">
                  <from>
                    <xdr:col>1</xdr:col>
                    <xdr:colOff>0</xdr:colOff>
                    <xdr:row>10</xdr:row>
                    <xdr:rowOff>76200</xdr:rowOff>
                  </from>
                  <to>
                    <xdr:col>24</xdr:col>
                    <xdr:colOff>742950</xdr:colOff>
                    <xdr:row>11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2:I23"/>
  <sheetViews>
    <sheetView workbookViewId="0">
      <selection activeCell="A7" sqref="A7"/>
    </sheetView>
  </sheetViews>
  <sheetFormatPr baseColWidth="10" defaultRowHeight="14.5" x14ac:dyDescent="0.35"/>
  <cols>
    <col min="1" max="1" width="29.81640625" bestFit="1" customWidth="1"/>
    <col min="2" max="2" width="11" bestFit="1" customWidth="1"/>
    <col min="3" max="4" width="11.26953125" bestFit="1" customWidth="1"/>
    <col min="5" max="5" width="11.81640625" bestFit="1" customWidth="1"/>
    <col min="6" max="6" width="21.1796875" customWidth="1"/>
    <col min="7" max="7" width="19" bestFit="1" customWidth="1"/>
    <col min="8" max="8" width="5.453125" bestFit="1" customWidth="1"/>
    <col min="9" max="9" width="11.54296875" bestFit="1" customWidth="1"/>
    <col min="10" max="10" width="14" bestFit="1" customWidth="1"/>
    <col min="11" max="11" width="11.54296875" bestFit="1" customWidth="1"/>
    <col min="12" max="12" width="15.81640625" customWidth="1"/>
    <col min="13" max="14" width="37.54296875" bestFit="1" customWidth="1"/>
    <col min="15" max="15" width="12.54296875" bestFit="1" customWidth="1"/>
  </cols>
  <sheetData>
    <row r="2" spans="1:9" ht="21" x14ac:dyDescent="0.5">
      <c r="B2" s="197" t="s">
        <v>323</v>
      </c>
      <c r="I2" s="197" t="s">
        <v>324</v>
      </c>
    </row>
    <row r="3" spans="1:9" ht="48.75" customHeight="1" x14ac:dyDescent="0.35">
      <c r="A3" s="211" t="s">
        <v>321</v>
      </c>
      <c r="B3" s="212" t="s">
        <v>317</v>
      </c>
      <c r="C3" s="212" t="s">
        <v>316</v>
      </c>
      <c r="G3" s="208" t="s">
        <v>319</v>
      </c>
      <c r="H3" s="209" t="s">
        <v>326</v>
      </c>
      <c r="I3" s="210" t="s">
        <v>325</v>
      </c>
    </row>
    <row r="4" spans="1:9" x14ac:dyDescent="0.35">
      <c r="A4" s="186">
        <v>0</v>
      </c>
      <c r="B4" s="164">
        <v>0</v>
      </c>
      <c r="C4" s="195">
        <v>0</v>
      </c>
      <c r="G4" s="192">
        <v>0</v>
      </c>
      <c r="H4" s="216">
        <v>0</v>
      </c>
      <c r="I4" s="162">
        <v>8</v>
      </c>
    </row>
    <row r="5" spans="1:9" x14ac:dyDescent="0.35">
      <c r="A5" s="186">
        <v>1</v>
      </c>
      <c r="B5" s="215">
        <v>17.650000000000002</v>
      </c>
      <c r="C5" s="195">
        <v>0.2857836787564767</v>
      </c>
      <c r="G5" s="192">
        <v>1</v>
      </c>
      <c r="H5" s="217">
        <v>17.650000000000002</v>
      </c>
      <c r="I5" s="162">
        <v>5</v>
      </c>
    </row>
    <row r="6" spans="1:9" x14ac:dyDescent="0.35">
      <c r="A6" s="214" t="s">
        <v>369</v>
      </c>
      <c r="B6" s="164">
        <v>0.36</v>
      </c>
      <c r="C6" s="195">
        <v>2.0396600566572234E-2</v>
      </c>
      <c r="G6" s="192">
        <v>2</v>
      </c>
      <c r="H6" s="218">
        <v>27.1</v>
      </c>
      <c r="I6" s="162">
        <v>6</v>
      </c>
    </row>
    <row r="7" spans="1:9" x14ac:dyDescent="0.35">
      <c r="A7" s="214" t="s">
        <v>372</v>
      </c>
      <c r="B7" s="164">
        <v>4.58</v>
      </c>
      <c r="C7" s="195">
        <v>0.25949008498583565</v>
      </c>
      <c r="G7" s="192">
        <v>3</v>
      </c>
      <c r="H7" s="218">
        <v>17.010000000000002</v>
      </c>
      <c r="I7" s="162">
        <v>4</v>
      </c>
    </row>
    <row r="8" spans="1:9" x14ac:dyDescent="0.35">
      <c r="A8" s="214" t="s">
        <v>373</v>
      </c>
      <c r="B8" s="164">
        <v>3.85</v>
      </c>
      <c r="C8" s="195">
        <v>0.21813031161473087</v>
      </c>
      <c r="G8" s="186" t="s">
        <v>314</v>
      </c>
      <c r="H8" s="215">
        <v>61.760000000000005</v>
      </c>
      <c r="I8" s="164">
        <v>23</v>
      </c>
    </row>
    <row r="9" spans="1:9" x14ac:dyDescent="0.35">
      <c r="A9" s="214" t="s">
        <v>386</v>
      </c>
      <c r="B9" s="164">
        <v>3.74</v>
      </c>
      <c r="C9" s="195">
        <v>0.21189801699716712</v>
      </c>
    </row>
    <row r="10" spans="1:9" x14ac:dyDescent="0.35">
      <c r="A10" s="214" t="s">
        <v>387</v>
      </c>
      <c r="B10" s="164">
        <v>5.12</v>
      </c>
      <c r="C10" s="195">
        <v>0.29008498583569403</v>
      </c>
    </row>
    <row r="11" spans="1:9" x14ac:dyDescent="0.35">
      <c r="A11" s="186">
        <v>2</v>
      </c>
      <c r="B11" s="164">
        <v>27.1</v>
      </c>
      <c r="C11" s="195">
        <v>0.43879533678756477</v>
      </c>
    </row>
    <row r="12" spans="1:9" x14ac:dyDescent="0.35">
      <c r="A12" s="214" t="s">
        <v>366</v>
      </c>
      <c r="B12" s="164">
        <v>3.22</v>
      </c>
      <c r="C12" s="195">
        <v>0.11881918819188192</v>
      </c>
    </row>
    <row r="13" spans="1:9" x14ac:dyDescent="0.35">
      <c r="A13" s="214" t="s">
        <v>371</v>
      </c>
      <c r="B13" s="164">
        <v>5.63</v>
      </c>
      <c r="C13" s="195">
        <v>0.2077490774907749</v>
      </c>
    </row>
    <row r="14" spans="1:9" x14ac:dyDescent="0.35">
      <c r="A14" s="214" t="s">
        <v>374</v>
      </c>
      <c r="B14" s="164">
        <v>4.13</v>
      </c>
      <c r="C14" s="195">
        <v>0.15239852398523984</v>
      </c>
    </row>
    <row r="15" spans="1:9" x14ac:dyDescent="0.35">
      <c r="A15" s="214" t="s">
        <v>375</v>
      </c>
      <c r="B15" s="164">
        <v>4.5</v>
      </c>
      <c r="C15" s="195">
        <v>0.16605166051660517</v>
      </c>
    </row>
    <row r="16" spans="1:9" x14ac:dyDescent="0.35">
      <c r="A16" s="214" t="s">
        <v>376</v>
      </c>
      <c r="B16" s="164">
        <v>3.21</v>
      </c>
      <c r="C16" s="195">
        <v>0.11845018450184501</v>
      </c>
    </row>
    <row r="17" spans="1:3" x14ac:dyDescent="0.35">
      <c r="A17" s="214" t="s">
        <v>381</v>
      </c>
      <c r="B17" s="164">
        <v>6.41</v>
      </c>
      <c r="C17" s="195">
        <v>0.23653136531365312</v>
      </c>
    </row>
    <row r="18" spans="1:3" x14ac:dyDescent="0.35">
      <c r="A18" s="186">
        <v>3</v>
      </c>
      <c r="B18" s="164">
        <v>17.010000000000002</v>
      </c>
      <c r="C18" s="195">
        <v>0.27542098445595853</v>
      </c>
    </row>
    <row r="19" spans="1:3" x14ac:dyDescent="0.35">
      <c r="A19" s="214" t="s">
        <v>329</v>
      </c>
      <c r="B19" s="164">
        <v>4.5999999999999996</v>
      </c>
      <c r="C19" s="195">
        <v>0.27042915931804817</v>
      </c>
    </row>
    <row r="20" spans="1:3" x14ac:dyDescent="0.35">
      <c r="A20" s="214" t="s">
        <v>367</v>
      </c>
      <c r="B20" s="164">
        <v>3.5</v>
      </c>
      <c r="C20" s="195">
        <v>0.20576131687242796</v>
      </c>
    </row>
    <row r="21" spans="1:3" x14ac:dyDescent="0.35">
      <c r="A21" s="214" t="s">
        <v>368</v>
      </c>
      <c r="B21" s="164">
        <v>4.7</v>
      </c>
      <c r="C21" s="195">
        <v>0.27630805408583187</v>
      </c>
    </row>
    <row r="22" spans="1:3" x14ac:dyDescent="0.35">
      <c r="A22" s="214" t="s">
        <v>383</v>
      </c>
      <c r="B22" s="164">
        <v>4.21</v>
      </c>
      <c r="C22" s="195">
        <v>0.24750146972369191</v>
      </c>
    </row>
    <row r="23" spans="1:3" x14ac:dyDescent="0.35">
      <c r="A23" s="186" t="s">
        <v>314</v>
      </c>
      <c r="B23" s="215">
        <v>61.760000000000005</v>
      </c>
      <c r="C23" s="195">
        <v>1</v>
      </c>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pivot="1">
          <x14:cfRule type="cellIs" priority="6" operator="greaterThan" id="{EF034906-F026-4E5D-9888-625ED4929AA3}">
            <xm:f>REGISTRO_MAESTRO_m3!$N$4</xm:f>
            <x14:dxf>
              <font>
                <b/>
                <i val="0"/>
                <color rgb="FF9C0006"/>
              </font>
              <fill>
                <patternFill>
                  <bgColor rgb="FFFFC7CE"/>
                </patternFill>
              </fill>
            </x14:dxf>
          </x14:cfRule>
          <xm:sqref>H4:H7</xm:sqref>
        </x14:conditionalFormatting>
        <x14:conditionalFormatting xmlns:xm="http://schemas.microsoft.com/office/excel/2006/main" pivot="1">
          <x14:cfRule type="cellIs" priority="5" operator="lessThan" id="{C1EA2CF8-1AA9-4B32-A8E0-025ABFD0D9A0}">
            <xm:f>REGISTRO_MAESTRO_m3!$N$4</xm:f>
            <x14:dxf>
              <font>
                <b/>
                <i val="0"/>
                <color theme="7" tint="-0.499984740745262"/>
              </font>
              <fill>
                <patternFill>
                  <bgColor theme="7" tint="0.59996337778862885"/>
                </patternFill>
              </fill>
            </x14:dxf>
          </x14:cfRule>
          <xm:sqref>H4:H7</xm:sqref>
        </x14:conditionalFormatting>
        <x14:conditionalFormatting xmlns:xm="http://schemas.microsoft.com/office/excel/2006/main" pivot="1">
          <x14:cfRule type="cellIs" priority="4" operator="equal" id="{EC0DB1AF-D2CE-4999-9A34-5FCC6BDE34EC}">
            <xm:f>REGISTRO_MAESTRO_m3!$N$4</xm:f>
            <x14:dxf>
              <font>
                <b/>
                <i val="0"/>
                <color theme="9" tint="-0.499984740745262"/>
              </font>
              <fill>
                <patternFill>
                  <bgColor theme="9" tint="0.59996337778862885"/>
                </patternFill>
              </fill>
            </x14:dxf>
          </x14:cfRule>
          <xm:sqref>H4:H7</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8" filterMode="1"/>
  <dimension ref="A1:K63"/>
  <sheetViews>
    <sheetView workbookViewId="0">
      <selection activeCell="K53" sqref="K53"/>
    </sheetView>
  </sheetViews>
  <sheetFormatPr baseColWidth="10" defaultRowHeight="14.5" x14ac:dyDescent="0.35"/>
  <cols>
    <col min="6" max="6" width="13.7265625" customWidth="1"/>
    <col min="11" max="11" width="11.453125" style="78"/>
  </cols>
  <sheetData>
    <row r="1" spans="1:11" x14ac:dyDescent="0.35">
      <c r="A1" t="s">
        <v>53</v>
      </c>
      <c r="B1" t="s">
        <v>54</v>
      </c>
      <c r="C1" t="s">
        <v>55</v>
      </c>
      <c r="D1" t="s">
        <v>56</v>
      </c>
      <c r="E1" t="s">
        <v>57</v>
      </c>
      <c r="F1" t="s">
        <v>58</v>
      </c>
      <c r="G1" t="s">
        <v>59</v>
      </c>
      <c r="H1" t="s">
        <v>60</v>
      </c>
      <c r="I1" t="s">
        <v>61</v>
      </c>
      <c r="J1" t="s">
        <v>62</v>
      </c>
      <c r="K1" s="78" t="s">
        <v>63</v>
      </c>
    </row>
    <row r="2" spans="1:11" hidden="1" x14ac:dyDescent="0.35">
      <c r="A2">
        <v>25301</v>
      </c>
      <c r="B2">
        <v>9301</v>
      </c>
      <c r="C2" t="s">
        <v>147</v>
      </c>
      <c r="E2" t="s">
        <v>36</v>
      </c>
      <c r="F2">
        <v>71090714979</v>
      </c>
      <c r="G2" t="s">
        <v>148</v>
      </c>
      <c r="H2" s="49">
        <v>43313</v>
      </c>
      <c r="I2" t="s">
        <v>80</v>
      </c>
      <c r="J2">
        <v>1200</v>
      </c>
      <c r="K2" s="78">
        <v>2387</v>
      </c>
    </row>
    <row r="3" spans="1:11" hidden="1" x14ac:dyDescent="0.35">
      <c r="A3">
        <v>25279</v>
      </c>
      <c r="B3">
        <v>9301</v>
      </c>
      <c r="C3" t="s">
        <v>149</v>
      </c>
      <c r="E3" t="s">
        <v>36</v>
      </c>
      <c r="F3">
        <v>62112113769</v>
      </c>
      <c r="G3" t="s">
        <v>42</v>
      </c>
      <c r="H3" s="49">
        <v>43160</v>
      </c>
      <c r="I3" t="s">
        <v>80</v>
      </c>
      <c r="J3">
        <v>950</v>
      </c>
      <c r="K3" s="78">
        <v>0</v>
      </c>
    </row>
    <row r="4" spans="1:11" hidden="1" x14ac:dyDescent="0.35">
      <c r="A4">
        <v>23763</v>
      </c>
      <c r="B4">
        <v>9301</v>
      </c>
      <c r="C4" t="s">
        <v>150</v>
      </c>
      <c r="E4" t="s">
        <v>36</v>
      </c>
      <c r="F4">
        <v>71012900407</v>
      </c>
      <c r="G4" t="s">
        <v>41</v>
      </c>
      <c r="H4" s="49">
        <v>42720</v>
      </c>
      <c r="I4" t="s">
        <v>80</v>
      </c>
      <c r="J4">
        <v>1200</v>
      </c>
      <c r="K4" s="78">
        <v>2402</v>
      </c>
    </row>
    <row r="5" spans="1:11" hidden="1" x14ac:dyDescent="0.35">
      <c r="A5">
        <v>26821</v>
      </c>
      <c r="B5">
        <v>9301</v>
      </c>
      <c r="C5" t="s">
        <v>151</v>
      </c>
      <c r="E5" t="s">
        <v>64</v>
      </c>
      <c r="F5">
        <v>62072705575</v>
      </c>
      <c r="G5" t="s">
        <v>82</v>
      </c>
      <c r="H5" s="49">
        <v>25569</v>
      </c>
      <c r="I5" t="s">
        <v>80</v>
      </c>
      <c r="J5">
        <v>1200</v>
      </c>
      <c r="K5" s="78">
        <v>0</v>
      </c>
    </row>
    <row r="6" spans="1:11" hidden="1" x14ac:dyDescent="0.35">
      <c r="A6">
        <v>24397</v>
      </c>
      <c r="B6">
        <v>9301</v>
      </c>
      <c r="C6" t="s">
        <v>152</v>
      </c>
      <c r="E6" t="s">
        <v>36</v>
      </c>
      <c r="F6">
        <v>59032308312</v>
      </c>
      <c r="G6" t="s">
        <v>39</v>
      </c>
      <c r="H6" s="49">
        <v>42887</v>
      </c>
      <c r="I6" t="s">
        <v>80</v>
      </c>
      <c r="J6">
        <v>1200</v>
      </c>
      <c r="K6" s="78">
        <v>2407</v>
      </c>
    </row>
    <row r="7" spans="1:11" hidden="1" x14ac:dyDescent="0.35">
      <c r="A7">
        <v>15247</v>
      </c>
      <c r="B7">
        <v>9301</v>
      </c>
      <c r="C7" t="s">
        <v>153</v>
      </c>
      <c r="E7" t="s">
        <v>36</v>
      </c>
      <c r="F7">
        <v>76062109014</v>
      </c>
      <c r="G7" t="s">
        <v>37</v>
      </c>
      <c r="H7" s="49">
        <v>43132</v>
      </c>
      <c r="I7" t="s">
        <v>80</v>
      </c>
      <c r="J7">
        <v>500</v>
      </c>
      <c r="K7" s="78">
        <v>691.67</v>
      </c>
    </row>
    <row r="8" spans="1:11" hidden="1" x14ac:dyDescent="0.35">
      <c r="A8">
        <v>23161</v>
      </c>
      <c r="B8">
        <v>9301</v>
      </c>
      <c r="C8" t="s">
        <v>154</v>
      </c>
      <c r="E8" t="s">
        <v>36</v>
      </c>
      <c r="F8">
        <v>65073104096</v>
      </c>
      <c r="G8" t="s">
        <v>39</v>
      </c>
      <c r="H8" s="49">
        <v>42583</v>
      </c>
      <c r="I8" t="s">
        <v>80</v>
      </c>
      <c r="J8">
        <v>1200</v>
      </c>
      <c r="K8" s="78">
        <v>2500</v>
      </c>
    </row>
    <row r="9" spans="1:11" hidden="1" x14ac:dyDescent="0.35">
      <c r="A9">
        <v>23654</v>
      </c>
      <c r="B9">
        <v>9301</v>
      </c>
      <c r="C9" t="s">
        <v>155</v>
      </c>
      <c r="E9" t="s">
        <v>36</v>
      </c>
      <c r="F9">
        <v>77041701931</v>
      </c>
      <c r="G9" t="s">
        <v>84</v>
      </c>
      <c r="H9" s="49">
        <v>42720</v>
      </c>
      <c r="I9" t="s">
        <v>80</v>
      </c>
      <c r="J9">
        <v>950</v>
      </c>
      <c r="K9" s="78">
        <v>1673.17</v>
      </c>
    </row>
    <row r="10" spans="1:11" hidden="1" x14ac:dyDescent="0.35">
      <c r="A10">
        <v>25375</v>
      </c>
      <c r="B10">
        <v>9301</v>
      </c>
      <c r="C10" t="s">
        <v>156</v>
      </c>
      <c r="E10" t="s">
        <v>36</v>
      </c>
      <c r="F10">
        <v>83111126120</v>
      </c>
      <c r="G10" t="s">
        <v>157</v>
      </c>
      <c r="H10" s="49">
        <v>43522</v>
      </c>
      <c r="I10" t="s">
        <v>80</v>
      </c>
      <c r="J10">
        <v>1200</v>
      </c>
      <c r="K10" s="78">
        <v>2389</v>
      </c>
    </row>
    <row r="11" spans="1:11" hidden="1" x14ac:dyDescent="0.35">
      <c r="A11">
        <v>25325</v>
      </c>
      <c r="B11">
        <v>9301</v>
      </c>
      <c r="C11" t="s">
        <v>158</v>
      </c>
      <c r="E11" t="s">
        <v>36</v>
      </c>
      <c r="F11">
        <v>77122815968</v>
      </c>
      <c r="G11" t="s">
        <v>68</v>
      </c>
      <c r="H11" s="49">
        <v>43252</v>
      </c>
      <c r="I11" t="s">
        <v>38</v>
      </c>
      <c r="J11">
        <v>1200</v>
      </c>
      <c r="K11" s="78">
        <v>2301</v>
      </c>
    </row>
    <row r="12" spans="1:11" x14ac:dyDescent="0.35">
      <c r="A12">
        <v>25167</v>
      </c>
      <c r="B12">
        <v>9421</v>
      </c>
      <c r="C12" t="s">
        <v>159</v>
      </c>
      <c r="E12" t="s">
        <v>36</v>
      </c>
      <c r="F12">
        <v>63121716963</v>
      </c>
      <c r="G12" t="s">
        <v>81</v>
      </c>
      <c r="H12" s="49">
        <v>43258</v>
      </c>
      <c r="I12" t="s">
        <v>48</v>
      </c>
      <c r="J12">
        <v>612</v>
      </c>
      <c r="K12" s="78">
        <v>181.5</v>
      </c>
    </row>
    <row r="13" spans="1:11" hidden="1" x14ac:dyDescent="0.35">
      <c r="A13">
        <v>26191</v>
      </c>
      <c r="B13">
        <v>9301</v>
      </c>
      <c r="C13" t="s">
        <v>160</v>
      </c>
      <c r="E13" t="s">
        <v>36</v>
      </c>
      <c r="F13">
        <v>71091205282</v>
      </c>
      <c r="G13" t="s">
        <v>37</v>
      </c>
      <c r="H13" s="49">
        <v>43641</v>
      </c>
      <c r="I13" t="s">
        <v>80</v>
      </c>
      <c r="J13">
        <v>950</v>
      </c>
      <c r="K13" s="78">
        <v>1673.17</v>
      </c>
    </row>
    <row r="14" spans="1:11" hidden="1" x14ac:dyDescent="0.35">
      <c r="A14">
        <v>22294</v>
      </c>
      <c r="B14">
        <v>9301</v>
      </c>
      <c r="C14" t="s">
        <v>65</v>
      </c>
      <c r="E14" t="s">
        <v>36</v>
      </c>
      <c r="F14">
        <v>64080109008</v>
      </c>
      <c r="G14" t="s">
        <v>41</v>
      </c>
      <c r="H14" s="49">
        <v>42430</v>
      </c>
      <c r="I14" t="s">
        <v>38</v>
      </c>
      <c r="J14">
        <v>1200</v>
      </c>
      <c r="K14" s="78">
        <v>1244</v>
      </c>
    </row>
    <row r="15" spans="1:11" hidden="1" x14ac:dyDescent="0.35">
      <c r="A15">
        <v>24689</v>
      </c>
      <c r="B15">
        <v>9301</v>
      </c>
      <c r="C15" t="s">
        <v>161</v>
      </c>
      <c r="E15" t="s">
        <v>36</v>
      </c>
      <c r="F15">
        <v>84121827727</v>
      </c>
      <c r="G15" t="s">
        <v>82</v>
      </c>
      <c r="H15" s="49">
        <v>43551</v>
      </c>
      <c r="I15" t="s">
        <v>38</v>
      </c>
      <c r="J15">
        <v>1200</v>
      </c>
      <c r="K15" s="78">
        <v>1390</v>
      </c>
    </row>
    <row r="16" spans="1:11" hidden="1" x14ac:dyDescent="0.35">
      <c r="A16">
        <v>17739</v>
      </c>
      <c r="B16">
        <v>9301</v>
      </c>
      <c r="C16" t="s">
        <v>162</v>
      </c>
      <c r="E16" t="s">
        <v>36</v>
      </c>
      <c r="F16">
        <v>66040627739</v>
      </c>
      <c r="G16" t="s">
        <v>41</v>
      </c>
      <c r="H16" s="49">
        <v>42685</v>
      </c>
      <c r="I16" t="s">
        <v>38</v>
      </c>
      <c r="J16">
        <v>1200</v>
      </c>
      <c r="K16" s="78">
        <v>0</v>
      </c>
    </row>
    <row r="17" spans="1:11" hidden="1" x14ac:dyDescent="0.35">
      <c r="A17">
        <v>25380</v>
      </c>
      <c r="B17">
        <v>9301</v>
      </c>
      <c r="C17" t="s">
        <v>163</v>
      </c>
      <c r="E17" t="s">
        <v>36</v>
      </c>
      <c r="F17">
        <v>66120227099</v>
      </c>
      <c r="G17" t="s">
        <v>42</v>
      </c>
      <c r="H17" s="49">
        <v>43252</v>
      </c>
      <c r="I17" t="s">
        <v>80</v>
      </c>
      <c r="J17">
        <v>950</v>
      </c>
      <c r="K17" s="78">
        <v>1394</v>
      </c>
    </row>
    <row r="18" spans="1:11" hidden="1" x14ac:dyDescent="0.35">
      <c r="A18">
        <v>23528</v>
      </c>
      <c r="B18">
        <v>9301</v>
      </c>
      <c r="C18" t="s">
        <v>164</v>
      </c>
      <c r="E18" t="s">
        <v>36</v>
      </c>
      <c r="F18">
        <v>63120716944</v>
      </c>
      <c r="G18" t="s">
        <v>69</v>
      </c>
      <c r="H18" s="49">
        <v>42614</v>
      </c>
      <c r="I18" t="s">
        <v>38</v>
      </c>
      <c r="J18">
        <v>1200</v>
      </c>
      <c r="K18" s="78">
        <v>2407</v>
      </c>
    </row>
    <row r="19" spans="1:11" hidden="1" x14ac:dyDescent="0.35">
      <c r="A19">
        <v>25262</v>
      </c>
      <c r="B19">
        <v>9301</v>
      </c>
      <c r="C19" t="s">
        <v>165</v>
      </c>
      <c r="E19" t="s">
        <v>36</v>
      </c>
      <c r="F19">
        <v>80120303237</v>
      </c>
      <c r="G19" t="s">
        <v>72</v>
      </c>
      <c r="H19" s="49">
        <v>43191</v>
      </c>
      <c r="I19" t="s">
        <v>80</v>
      </c>
      <c r="J19">
        <v>1200</v>
      </c>
      <c r="K19" s="78">
        <v>2500</v>
      </c>
    </row>
    <row r="20" spans="1:11" hidden="1" x14ac:dyDescent="0.35">
      <c r="A20">
        <v>25535</v>
      </c>
      <c r="B20">
        <v>9301</v>
      </c>
      <c r="C20" t="s">
        <v>166</v>
      </c>
      <c r="E20" t="s">
        <v>36</v>
      </c>
      <c r="F20">
        <v>62090609329</v>
      </c>
      <c r="G20" t="s">
        <v>42</v>
      </c>
      <c r="H20" s="49">
        <v>43405</v>
      </c>
      <c r="I20" t="s">
        <v>80</v>
      </c>
      <c r="J20">
        <v>778</v>
      </c>
      <c r="K20" s="78">
        <v>1303.83</v>
      </c>
    </row>
    <row r="21" spans="1:11" hidden="1" x14ac:dyDescent="0.35">
      <c r="A21">
        <v>25313</v>
      </c>
      <c r="B21">
        <v>9301</v>
      </c>
      <c r="C21" t="s">
        <v>167</v>
      </c>
      <c r="E21" t="s">
        <v>36</v>
      </c>
      <c r="F21">
        <v>66022406428</v>
      </c>
      <c r="G21" t="s">
        <v>41</v>
      </c>
      <c r="H21" s="49">
        <v>43252</v>
      </c>
      <c r="I21" t="s">
        <v>38</v>
      </c>
      <c r="J21">
        <v>1200</v>
      </c>
      <c r="K21" s="78">
        <v>1822</v>
      </c>
    </row>
    <row r="22" spans="1:11" hidden="1" x14ac:dyDescent="0.35">
      <c r="A22">
        <v>24838</v>
      </c>
      <c r="B22">
        <v>9301</v>
      </c>
      <c r="C22" t="s">
        <v>168</v>
      </c>
      <c r="E22" t="s">
        <v>36</v>
      </c>
      <c r="F22">
        <v>75092818791</v>
      </c>
      <c r="G22" t="s">
        <v>66</v>
      </c>
      <c r="H22" s="49">
        <v>43551</v>
      </c>
      <c r="I22" t="s">
        <v>80</v>
      </c>
      <c r="J22">
        <v>1200</v>
      </c>
      <c r="K22" s="78">
        <v>2301</v>
      </c>
    </row>
    <row r="23" spans="1:11" hidden="1" x14ac:dyDescent="0.35">
      <c r="A23">
        <v>24311</v>
      </c>
      <c r="B23">
        <v>9301</v>
      </c>
      <c r="C23" t="s">
        <v>67</v>
      </c>
      <c r="E23" t="s">
        <v>36</v>
      </c>
      <c r="F23">
        <v>63022707924</v>
      </c>
      <c r="G23" t="s">
        <v>68</v>
      </c>
      <c r="H23" s="49">
        <v>42948</v>
      </c>
      <c r="I23" t="s">
        <v>38</v>
      </c>
      <c r="J23">
        <v>1200</v>
      </c>
      <c r="K23" s="78">
        <v>1297</v>
      </c>
    </row>
    <row r="24" spans="1:11" hidden="1" x14ac:dyDescent="0.35">
      <c r="A24">
        <v>24781</v>
      </c>
      <c r="B24">
        <v>9301</v>
      </c>
      <c r="C24" t="s">
        <v>169</v>
      </c>
      <c r="E24" t="s">
        <v>36</v>
      </c>
      <c r="F24">
        <v>66112212153</v>
      </c>
      <c r="G24" t="s">
        <v>39</v>
      </c>
      <c r="H24" s="49">
        <v>43221</v>
      </c>
      <c r="I24" t="s">
        <v>80</v>
      </c>
      <c r="J24">
        <v>1200</v>
      </c>
      <c r="K24" s="78">
        <v>2500</v>
      </c>
    </row>
    <row r="25" spans="1:11" hidden="1" x14ac:dyDescent="0.35">
      <c r="A25">
        <v>24673</v>
      </c>
      <c r="B25">
        <v>9301</v>
      </c>
      <c r="C25" t="s">
        <v>170</v>
      </c>
      <c r="E25" t="s">
        <v>36</v>
      </c>
      <c r="F25">
        <v>58110900661</v>
      </c>
      <c r="G25" t="s">
        <v>171</v>
      </c>
      <c r="H25" s="49">
        <v>43252</v>
      </c>
      <c r="I25" t="s">
        <v>80</v>
      </c>
      <c r="J25">
        <v>1200</v>
      </c>
      <c r="K25" s="78">
        <v>1894</v>
      </c>
    </row>
    <row r="26" spans="1:11" hidden="1" x14ac:dyDescent="0.35">
      <c r="A26">
        <v>13483</v>
      </c>
      <c r="B26">
        <v>9301</v>
      </c>
      <c r="C26" t="s">
        <v>172</v>
      </c>
      <c r="E26" t="s">
        <v>64</v>
      </c>
      <c r="F26">
        <v>68031000067</v>
      </c>
      <c r="G26" t="s">
        <v>173</v>
      </c>
      <c r="H26" s="49">
        <v>43904</v>
      </c>
      <c r="I26" t="s">
        <v>43</v>
      </c>
      <c r="J26">
        <v>1200</v>
      </c>
      <c r="K26" s="78">
        <v>0</v>
      </c>
    </row>
    <row r="27" spans="1:11" hidden="1" x14ac:dyDescent="0.35">
      <c r="A27">
        <v>23478</v>
      </c>
      <c r="B27">
        <v>9301</v>
      </c>
      <c r="C27" t="s">
        <v>174</v>
      </c>
      <c r="E27" t="s">
        <v>36</v>
      </c>
      <c r="F27">
        <v>66082300763</v>
      </c>
      <c r="G27" t="s">
        <v>41</v>
      </c>
      <c r="H27" s="49">
        <v>42614</v>
      </c>
      <c r="I27" t="s">
        <v>80</v>
      </c>
      <c r="J27">
        <v>1200</v>
      </c>
      <c r="K27" s="78">
        <v>2279</v>
      </c>
    </row>
    <row r="28" spans="1:11" hidden="1" x14ac:dyDescent="0.35">
      <c r="A28">
        <v>26652</v>
      </c>
      <c r="B28">
        <v>9301</v>
      </c>
      <c r="C28" t="s">
        <v>175</v>
      </c>
      <c r="E28" t="s">
        <v>176</v>
      </c>
      <c r="F28">
        <v>64092529206</v>
      </c>
      <c r="G28" t="s">
        <v>82</v>
      </c>
      <c r="H28" s="49">
        <v>25569</v>
      </c>
      <c r="I28" t="s">
        <v>80</v>
      </c>
      <c r="J28">
        <v>1200</v>
      </c>
      <c r="K28" s="78">
        <v>0</v>
      </c>
    </row>
    <row r="29" spans="1:11" hidden="1" x14ac:dyDescent="0.35">
      <c r="A29">
        <v>23480</v>
      </c>
      <c r="B29">
        <v>9301</v>
      </c>
      <c r="C29" t="s">
        <v>177</v>
      </c>
      <c r="E29" t="s">
        <v>36</v>
      </c>
      <c r="F29">
        <v>55011001802</v>
      </c>
      <c r="G29" t="s">
        <v>44</v>
      </c>
      <c r="H29" s="49">
        <v>42675</v>
      </c>
      <c r="I29" t="s">
        <v>80</v>
      </c>
      <c r="J29">
        <v>1200</v>
      </c>
      <c r="K29" s="78">
        <v>0</v>
      </c>
    </row>
    <row r="30" spans="1:11" hidden="1" x14ac:dyDescent="0.35">
      <c r="A30">
        <v>25563</v>
      </c>
      <c r="B30">
        <v>9301</v>
      </c>
      <c r="C30" t="s">
        <v>178</v>
      </c>
      <c r="E30" t="s">
        <v>36</v>
      </c>
      <c r="F30">
        <v>76112701516</v>
      </c>
      <c r="G30" t="s">
        <v>71</v>
      </c>
      <c r="H30" s="49">
        <v>43405</v>
      </c>
      <c r="I30" t="s">
        <v>80</v>
      </c>
      <c r="J30">
        <v>950</v>
      </c>
      <c r="K30" s="78">
        <v>1779.17</v>
      </c>
    </row>
    <row r="31" spans="1:11" hidden="1" x14ac:dyDescent="0.35">
      <c r="A31">
        <v>27635</v>
      </c>
      <c r="B31">
        <v>9301</v>
      </c>
      <c r="C31" t="s">
        <v>179</v>
      </c>
      <c r="E31" t="s">
        <v>36</v>
      </c>
      <c r="F31">
        <v>58122504887</v>
      </c>
      <c r="G31" t="s">
        <v>180</v>
      </c>
      <c r="H31" s="49">
        <v>44232</v>
      </c>
      <c r="I31" t="s">
        <v>46</v>
      </c>
      <c r="J31">
        <v>660</v>
      </c>
      <c r="K31" s="78">
        <v>0</v>
      </c>
    </row>
    <row r="32" spans="1:11" hidden="1" x14ac:dyDescent="0.35">
      <c r="A32">
        <v>25787</v>
      </c>
      <c r="B32">
        <v>9301</v>
      </c>
      <c r="C32" t="s">
        <v>181</v>
      </c>
      <c r="E32" t="s">
        <v>36</v>
      </c>
      <c r="F32">
        <v>74093005075</v>
      </c>
      <c r="G32" t="s">
        <v>182</v>
      </c>
      <c r="H32" s="49">
        <v>43494</v>
      </c>
      <c r="I32" t="s">
        <v>80</v>
      </c>
      <c r="J32">
        <v>1200</v>
      </c>
      <c r="K32" s="78">
        <v>2490</v>
      </c>
    </row>
    <row r="33" spans="1:11" hidden="1" x14ac:dyDescent="0.35">
      <c r="A33">
        <v>23808</v>
      </c>
      <c r="B33">
        <v>9301</v>
      </c>
      <c r="C33" t="s">
        <v>183</v>
      </c>
      <c r="E33" t="s">
        <v>36</v>
      </c>
      <c r="F33">
        <v>81120200276</v>
      </c>
      <c r="G33" t="s">
        <v>184</v>
      </c>
      <c r="H33" s="49">
        <v>42767</v>
      </c>
      <c r="I33" t="s">
        <v>185</v>
      </c>
      <c r="J33">
        <v>1200</v>
      </c>
      <c r="K33" s="78">
        <v>2500</v>
      </c>
    </row>
    <row r="34" spans="1:11" hidden="1" x14ac:dyDescent="0.35">
      <c r="A34">
        <v>25432</v>
      </c>
      <c r="B34">
        <v>9301</v>
      </c>
      <c r="C34" t="s">
        <v>186</v>
      </c>
      <c r="E34" t="s">
        <v>36</v>
      </c>
      <c r="F34">
        <v>66011601552</v>
      </c>
      <c r="G34" t="s">
        <v>187</v>
      </c>
      <c r="H34" s="49">
        <v>43551</v>
      </c>
      <c r="I34" t="s">
        <v>38</v>
      </c>
      <c r="J34">
        <v>950</v>
      </c>
      <c r="K34" s="78">
        <v>1058.17</v>
      </c>
    </row>
    <row r="35" spans="1:11" hidden="1" x14ac:dyDescent="0.35">
      <c r="A35">
        <v>24827</v>
      </c>
      <c r="B35">
        <v>9301</v>
      </c>
      <c r="C35" t="s">
        <v>188</v>
      </c>
      <c r="E35" t="s">
        <v>36</v>
      </c>
      <c r="F35">
        <v>67060800966</v>
      </c>
      <c r="G35" t="s">
        <v>34</v>
      </c>
      <c r="H35" s="49">
        <v>43132</v>
      </c>
      <c r="I35" t="s">
        <v>80</v>
      </c>
      <c r="J35">
        <v>1200</v>
      </c>
      <c r="K35" s="78">
        <v>0</v>
      </c>
    </row>
    <row r="36" spans="1:11" hidden="1" x14ac:dyDescent="0.35">
      <c r="A36">
        <v>26581</v>
      </c>
      <c r="B36">
        <v>9301</v>
      </c>
      <c r="C36" t="s">
        <v>189</v>
      </c>
      <c r="E36" t="s">
        <v>64</v>
      </c>
      <c r="F36">
        <v>71031819673</v>
      </c>
      <c r="G36" t="s">
        <v>82</v>
      </c>
      <c r="H36" s="49">
        <v>25569</v>
      </c>
      <c r="I36" t="s">
        <v>80</v>
      </c>
      <c r="J36">
        <v>1200</v>
      </c>
      <c r="K36" s="78">
        <v>0</v>
      </c>
    </row>
    <row r="37" spans="1:11" hidden="1" x14ac:dyDescent="0.35">
      <c r="A37">
        <v>26090</v>
      </c>
      <c r="B37">
        <v>9301</v>
      </c>
      <c r="C37" t="s">
        <v>230</v>
      </c>
      <c r="E37" t="s">
        <v>35</v>
      </c>
      <c r="F37">
        <v>72042200755</v>
      </c>
      <c r="G37" t="s">
        <v>231</v>
      </c>
      <c r="H37" s="49">
        <v>43524</v>
      </c>
      <c r="I37" t="s">
        <v>70</v>
      </c>
      <c r="J37">
        <v>600</v>
      </c>
      <c r="K37" s="78">
        <v>0</v>
      </c>
    </row>
    <row r="38" spans="1:11" hidden="1" x14ac:dyDescent="0.35">
      <c r="A38">
        <v>25646</v>
      </c>
      <c r="B38">
        <v>9301</v>
      </c>
      <c r="C38" t="s">
        <v>190</v>
      </c>
      <c r="E38" t="s">
        <v>36</v>
      </c>
      <c r="F38">
        <v>68091210850</v>
      </c>
      <c r="G38" t="s">
        <v>42</v>
      </c>
      <c r="H38" s="49">
        <v>43405</v>
      </c>
      <c r="I38" t="s">
        <v>38</v>
      </c>
      <c r="J38">
        <v>950</v>
      </c>
      <c r="K38" s="78">
        <v>1594</v>
      </c>
    </row>
    <row r="39" spans="1:11" hidden="1" x14ac:dyDescent="0.35">
      <c r="A39">
        <v>23215</v>
      </c>
      <c r="B39">
        <v>9301</v>
      </c>
      <c r="C39" t="s">
        <v>191</v>
      </c>
      <c r="E39" t="s">
        <v>36</v>
      </c>
      <c r="F39">
        <v>82122115612</v>
      </c>
      <c r="G39" t="s">
        <v>41</v>
      </c>
      <c r="H39" s="49">
        <v>42587</v>
      </c>
      <c r="I39" t="s">
        <v>38</v>
      </c>
      <c r="J39">
        <v>1200</v>
      </c>
      <c r="K39" s="78">
        <v>2500</v>
      </c>
    </row>
    <row r="40" spans="1:11" hidden="1" x14ac:dyDescent="0.35">
      <c r="A40">
        <v>23884</v>
      </c>
      <c r="B40">
        <v>9301</v>
      </c>
      <c r="C40" t="s">
        <v>192</v>
      </c>
      <c r="E40" t="s">
        <v>36</v>
      </c>
      <c r="F40">
        <v>62081114642</v>
      </c>
      <c r="G40" t="s">
        <v>39</v>
      </c>
      <c r="H40" s="49">
        <v>42948</v>
      </c>
      <c r="I40" t="s">
        <v>80</v>
      </c>
      <c r="J40">
        <v>1200</v>
      </c>
      <c r="K40" s="78">
        <v>2500</v>
      </c>
    </row>
    <row r="41" spans="1:11" hidden="1" x14ac:dyDescent="0.35">
      <c r="A41">
        <v>24374</v>
      </c>
      <c r="B41">
        <v>9301</v>
      </c>
      <c r="C41" t="s">
        <v>193</v>
      </c>
      <c r="E41" t="s">
        <v>36</v>
      </c>
      <c r="F41">
        <v>78110631852</v>
      </c>
      <c r="G41" t="s">
        <v>194</v>
      </c>
      <c r="H41" s="49">
        <v>42887</v>
      </c>
      <c r="I41" t="s">
        <v>80</v>
      </c>
      <c r="J41">
        <v>1200</v>
      </c>
      <c r="K41" s="78">
        <v>2394</v>
      </c>
    </row>
    <row r="42" spans="1:11" hidden="1" x14ac:dyDescent="0.35">
      <c r="A42">
        <v>26076</v>
      </c>
      <c r="B42">
        <v>9301</v>
      </c>
      <c r="C42" t="s">
        <v>195</v>
      </c>
      <c r="E42" t="s">
        <v>36</v>
      </c>
      <c r="F42">
        <v>63110109713</v>
      </c>
      <c r="G42" t="s">
        <v>196</v>
      </c>
      <c r="H42" s="49">
        <v>43571</v>
      </c>
      <c r="I42" t="s">
        <v>43</v>
      </c>
      <c r="J42">
        <v>1200</v>
      </c>
      <c r="K42" s="78">
        <v>0</v>
      </c>
    </row>
    <row r="43" spans="1:11" hidden="1" x14ac:dyDescent="0.35">
      <c r="A43">
        <v>24353</v>
      </c>
      <c r="B43">
        <v>9301</v>
      </c>
      <c r="C43" t="s">
        <v>197</v>
      </c>
      <c r="E43" t="s">
        <v>36</v>
      </c>
      <c r="F43">
        <v>66012312261</v>
      </c>
      <c r="G43" t="s">
        <v>182</v>
      </c>
      <c r="H43" s="49">
        <v>42887</v>
      </c>
      <c r="I43" t="s">
        <v>80</v>
      </c>
      <c r="J43">
        <v>1200</v>
      </c>
      <c r="K43" s="78">
        <v>2500</v>
      </c>
    </row>
    <row r="44" spans="1:11" hidden="1" x14ac:dyDescent="0.35">
      <c r="A44">
        <v>25463</v>
      </c>
      <c r="B44">
        <v>9301</v>
      </c>
      <c r="C44" t="s">
        <v>198</v>
      </c>
      <c r="E44" t="s">
        <v>36</v>
      </c>
      <c r="F44">
        <v>83101929322</v>
      </c>
      <c r="G44" t="s">
        <v>34</v>
      </c>
      <c r="H44" s="49">
        <v>43405</v>
      </c>
      <c r="I44" t="s">
        <v>80</v>
      </c>
      <c r="J44">
        <v>1200</v>
      </c>
      <c r="K44" s="78">
        <v>2301</v>
      </c>
    </row>
    <row r="45" spans="1:11" hidden="1" x14ac:dyDescent="0.35">
      <c r="A45">
        <v>5563</v>
      </c>
      <c r="B45">
        <v>9301</v>
      </c>
      <c r="C45" t="s">
        <v>199</v>
      </c>
      <c r="E45" t="s">
        <v>64</v>
      </c>
      <c r="F45">
        <v>63081403294</v>
      </c>
      <c r="G45" t="s">
        <v>82</v>
      </c>
      <c r="H45" s="49">
        <v>25569</v>
      </c>
      <c r="I45" t="s">
        <v>80</v>
      </c>
      <c r="J45">
        <v>1200</v>
      </c>
      <c r="K45" s="78">
        <v>0</v>
      </c>
    </row>
    <row r="46" spans="1:11" hidden="1" x14ac:dyDescent="0.35">
      <c r="A46">
        <v>16163</v>
      </c>
      <c r="B46">
        <v>9301</v>
      </c>
      <c r="C46" t="s">
        <v>200</v>
      </c>
      <c r="E46" t="s">
        <v>36</v>
      </c>
      <c r="F46">
        <v>66052808919</v>
      </c>
      <c r="G46" t="s">
        <v>201</v>
      </c>
      <c r="H46" s="49">
        <v>43551</v>
      </c>
      <c r="I46" t="s">
        <v>80</v>
      </c>
      <c r="J46">
        <v>1200</v>
      </c>
      <c r="K46" s="78">
        <v>1822</v>
      </c>
    </row>
    <row r="47" spans="1:11" hidden="1" x14ac:dyDescent="0.35">
      <c r="A47">
        <v>25598</v>
      </c>
      <c r="B47">
        <v>9301</v>
      </c>
      <c r="C47" t="s">
        <v>202</v>
      </c>
      <c r="E47" t="s">
        <v>36</v>
      </c>
      <c r="F47">
        <v>60082616801</v>
      </c>
      <c r="G47" t="s">
        <v>203</v>
      </c>
      <c r="H47" s="49">
        <v>43405</v>
      </c>
      <c r="I47" t="s">
        <v>80</v>
      </c>
      <c r="J47">
        <v>950</v>
      </c>
      <c r="K47" s="78">
        <v>1673.17</v>
      </c>
    </row>
    <row r="48" spans="1:11" ht="15" thickBot="1" x14ac:dyDescent="0.4">
      <c r="A48">
        <v>23715</v>
      </c>
      <c r="B48">
        <v>9500</v>
      </c>
      <c r="C48" t="s">
        <v>204</v>
      </c>
      <c r="E48" t="s">
        <v>36</v>
      </c>
      <c r="F48">
        <v>86042216988</v>
      </c>
      <c r="G48" t="s">
        <v>205</v>
      </c>
      <c r="H48" s="49">
        <v>42762</v>
      </c>
      <c r="I48" t="s">
        <v>83</v>
      </c>
      <c r="J48">
        <v>522</v>
      </c>
      <c r="K48" s="78">
        <v>169.75</v>
      </c>
    </row>
    <row r="49" spans="1:11" ht="15" hidden="1" thickBot="1" x14ac:dyDescent="0.4">
      <c r="A49">
        <v>26171</v>
      </c>
      <c r="B49">
        <v>9301</v>
      </c>
      <c r="C49" t="s">
        <v>206</v>
      </c>
      <c r="E49" t="s">
        <v>36</v>
      </c>
      <c r="F49">
        <v>77121906782</v>
      </c>
      <c r="G49" t="s">
        <v>40</v>
      </c>
      <c r="H49" s="49">
        <v>43551</v>
      </c>
      <c r="I49" t="s">
        <v>38</v>
      </c>
      <c r="J49">
        <v>1200</v>
      </c>
      <c r="K49" s="78">
        <v>2394</v>
      </c>
    </row>
    <row r="50" spans="1:11" ht="15" hidden="1" thickBot="1" x14ac:dyDescent="0.4">
      <c r="A50">
        <v>24542</v>
      </c>
      <c r="B50">
        <v>9301</v>
      </c>
      <c r="C50" t="s">
        <v>207</v>
      </c>
      <c r="E50" t="s">
        <v>36</v>
      </c>
      <c r="F50">
        <v>69072913008</v>
      </c>
      <c r="G50" t="s">
        <v>208</v>
      </c>
      <c r="H50" s="49">
        <v>42979</v>
      </c>
      <c r="I50" t="s">
        <v>80</v>
      </c>
      <c r="J50">
        <v>1200</v>
      </c>
      <c r="K50" s="78">
        <v>2500</v>
      </c>
    </row>
    <row r="51" spans="1:11" ht="15" thickBot="1" x14ac:dyDescent="0.4">
      <c r="A51">
        <v>23613</v>
      </c>
      <c r="B51">
        <v>9090</v>
      </c>
      <c r="C51" t="s">
        <v>209</v>
      </c>
      <c r="E51" t="s">
        <v>36</v>
      </c>
      <c r="F51">
        <v>88102121029</v>
      </c>
      <c r="G51" t="s">
        <v>210</v>
      </c>
      <c r="H51" s="49">
        <v>43405</v>
      </c>
      <c r="I51" t="s">
        <v>47</v>
      </c>
      <c r="J51">
        <v>522</v>
      </c>
      <c r="K51" s="137">
        <v>385.75</v>
      </c>
    </row>
    <row r="52" spans="1:11" hidden="1" x14ac:dyDescent="0.35">
      <c r="A52">
        <v>23857</v>
      </c>
      <c r="B52">
        <v>9301</v>
      </c>
      <c r="C52" t="s">
        <v>211</v>
      </c>
      <c r="E52" t="s">
        <v>36</v>
      </c>
      <c r="F52">
        <v>84091224184</v>
      </c>
      <c r="G52" t="s">
        <v>68</v>
      </c>
      <c r="H52" s="49">
        <v>42826</v>
      </c>
      <c r="I52" t="s">
        <v>80</v>
      </c>
      <c r="J52">
        <v>1200</v>
      </c>
      <c r="K52" s="78">
        <v>0</v>
      </c>
    </row>
    <row r="53" spans="1:11" x14ac:dyDescent="0.35">
      <c r="A53">
        <v>23700</v>
      </c>
      <c r="B53">
        <v>9300</v>
      </c>
      <c r="C53" t="s">
        <v>212</v>
      </c>
      <c r="E53" t="s">
        <v>36</v>
      </c>
      <c r="F53">
        <v>67070500186</v>
      </c>
      <c r="G53" t="s">
        <v>213</v>
      </c>
      <c r="H53" s="49">
        <v>43101</v>
      </c>
      <c r="I53" t="s">
        <v>51</v>
      </c>
      <c r="J53">
        <v>1200</v>
      </c>
      <c r="K53" s="78">
        <v>1588</v>
      </c>
    </row>
    <row r="54" spans="1:11" hidden="1" x14ac:dyDescent="0.35">
      <c r="A54">
        <v>20485</v>
      </c>
      <c r="B54">
        <v>9301</v>
      </c>
      <c r="C54" t="s">
        <v>214</v>
      </c>
      <c r="E54" t="s">
        <v>36</v>
      </c>
      <c r="F54">
        <v>70101006056</v>
      </c>
      <c r="G54" t="s">
        <v>37</v>
      </c>
      <c r="H54" s="49">
        <v>43132</v>
      </c>
      <c r="I54" t="s">
        <v>80</v>
      </c>
      <c r="J54">
        <v>650</v>
      </c>
      <c r="K54" s="78">
        <v>1079.17</v>
      </c>
    </row>
    <row r="55" spans="1:11" hidden="1" x14ac:dyDescent="0.35">
      <c r="A55">
        <v>25442</v>
      </c>
      <c r="B55">
        <v>9301</v>
      </c>
      <c r="C55" t="s">
        <v>215</v>
      </c>
      <c r="E55" t="s">
        <v>36</v>
      </c>
      <c r="F55">
        <v>62123017390</v>
      </c>
      <c r="G55" t="s">
        <v>42</v>
      </c>
      <c r="H55" s="49">
        <v>43252</v>
      </c>
      <c r="I55" t="s">
        <v>80</v>
      </c>
      <c r="J55">
        <v>950</v>
      </c>
      <c r="K55" s="78">
        <v>1743.17</v>
      </c>
    </row>
    <row r="56" spans="1:11" hidden="1" x14ac:dyDescent="0.35">
      <c r="A56">
        <v>24766</v>
      </c>
      <c r="B56">
        <v>9301</v>
      </c>
      <c r="C56" t="s">
        <v>216</v>
      </c>
      <c r="E56" t="s">
        <v>36</v>
      </c>
      <c r="F56">
        <v>72041605376</v>
      </c>
      <c r="G56" t="s">
        <v>66</v>
      </c>
      <c r="H56" s="49">
        <v>43252</v>
      </c>
      <c r="I56" t="s">
        <v>80</v>
      </c>
      <c r="J56">
        <v>1200</v>
      </c>
      <c r="K56" s="78">
        <v>2301</v>
      </c>
    </row>
    <row r="57" spans="1:11" hidden="1" x14ac:dyDescent="0.35">
      <c r="A57">
        <v>23628</v>
      </c>
      <c r="B57">
        <v>9301</v>
      </c>
      <c r="C57" t="s">
        <v>217</v>
      </c>
      <c r="E57" t="s">
        <v>36</v>
      </c>
      <c r="F57">
        <v>64042105078</v>
      </c>
      <c r="G57" t="s">
        <v>82</v>
      </c>
      <c r="H57" s="49">
        <v>42675</v>
      </c>
      <c r="I57" t="s">
        <v>80</v>
      </c>
      <c r="J57">
        <v>1200</v>
      </c>
      <c r="K57" s="78">
        <v>2500</v>
      </c>
    </row>
    <row r="58" spans="1:11" hidden="1" x14ac:dyDescent="0.35">
      <c r="A58">
        <v>26599</v>
      </c>
      <c r="B58">
        <v>9301</v>
      </c>
      <c r="C58" t="s">
        <v>218</v>
      </c>
      <c r="E58" t="s">
        <v>64</v>
      </c>
      <c r="F58">
        <v>63082215424</v>
      </c>
      <c r="G58" t="s">
        <v>82</v>
      </c>
      <c r="H58" s="49">
        <v>25569</v>
      </c>
      <c r="I58" t="s">
        <v>80</v>
      </c>
      <c r="J58">
        <v>1200</v>
      </c>
      <c r="K58" s="78">
        <v>0</v>
      </c>
    </row>
    <row r="59" spans="1:11" hidden="1" x14ac:dyDescent="0.35">
      <c r="A59">
        <v>24580</v>
      </c>
      <c r="B59">
        <v>9301</v>
      </c>
      <c r="C59" t="s">
        <v>219</v>
      </c>
      <c r="E59" t="s">
        <v>36</v>
      </c>
      <c r="F59">
        <v>63060809061</v>
      </c>
      <c r="G59" t="s">
        <v>208</v>
      </c>
      <c r="H59" s="49">
        <v>42979</v>
      </c>
      <c r="I59" t="s">
        <v>80</v>
      </c>
      <c r="J59">
        <v>1200</v>
      </c>
      <c r="K59" s="78">
        <v>2279</v>
      </c>
    </row>
    <row r="60" spans="1:11" hidden="1" x14ac:dyDescent="0.35">
      <c r="A60">
        <v>25446</v>
      </c>
      <c r="B60">
        <v>9301</v>
      </c>
      <c r="C60" t="s">
        <v>220</v>
      </c>
      <c r="E60" t="s">
        <v>36</v>
      </c>
      <c r="F60">
        <v>77112023404</v>
      </c>
      <c r="G60" t="s">
        <v>49</v>
      </c>
      <c r="H60" s="49">
        <v>43313</v>
      </c>
      <c r="I60" t="s">
        <v>80</v>
      </c>
      <c r="J60">
        <v>950</v>
      </c>
      <c r="K60" s="78">
        <v>1748.17</v>
      </c>
    </row>
    <row r="61" spans="1:11" hidden="1" x14ac:dyDescent="0.35">
      <c r="A61">
        <v>25376</v>
      </c>
      <c r="B61">
        <v>9301</v>
      </c>
      <c r="C61" t="s">
        <v>221</v>
      </c>
      <c r="E61" t="s">
        <v>36</v>
      </c>
      <c r="F61">
        <v>72052709036</v>
      </c>
      <c r="G61" t="s">
        <v>50</v>
      </c>
      <c r="H61" s="49">
        <v>43313</v>
      </c>
      <c r="I61" t="s">
        <v>80</v>
      </c>
      <c r="J61">
        <v>950</v>
      </c>
      <c r="K61" s="78">
        <v>1748.17</v>
      </c>
    </row>
    <row r="62" spans="1:11" hidden="1" x14ac:dyDescent="0.35">
      <c r="A62">
        <v>23646</v>
      </c>
      <c r="B62">
        <v>9301</v>
      </c>
      <c r="C62" t="s">
        <v>222</v>
      </c>
      <c r="E62" t="s">
        <v>36</v>
      </c>
      <c r="F62">
        <v>52050100735</v>
      </c>
      <c r="G62" t="s">
        <v>42</v>
      </c>
      <c r="H62" s="49">
        <v>43132</v>
      </c>
      <c r="I62" t="s">
        <v>80</v>
      </c>
      <c r="J62">
        <v>778</v>
      </c>
      <c r="K62" s="78">
        <v>1242.83</v>
      </c>
    </row>
    <row r="63" spans="1:11" hidden="1" x14ac:dyDescent="0.35">
      <c r="A63">
        <v>24783</v>
      </c>
      <c r="B63">
        <v>9301</v>
      </c>
      <c r="C63" t="s">
        <v>223</v>
      </c>
      <c r="E63" t="s">
        <v>36</v>
      </c>
      <c r="F63">
        <v>71061926492</v>
      </c>
      <c r="G63" t="s">
        <v>39</v>
      </c>
      <c r="H63" s="49">
        <v>43070</v>
      </c>
      <c r="I63" t="s">
        <v>80</v>
      </c>
      <c r="J63">
        <v>1200</v>
      </c>
      <c r="K63" s="78">
        <v>0</v>
      </c>
    </row>
  </sheetData>
  <autoFilter ref="A1:K63" xr:uid="{00000000-0009-0000-0000-000003000000}">
    <filterColumn colId="1">
      <filters>
        <filter val="9090"/>
        <filter val="9300"/>
        <filter val="9421"/>
        <filter val="9500"/>
      </filters>
    </filterColumn>
  </autoFilter>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6"/>
  <dimension ref="A1:K63"/>
  <sheetViews>
    <sheetView topLeftCell="A19" workbookViewId="0">
      <selection activeCell="K2" sqref="K2:K62"/>
    </sheetView>
  </sheetViews>
  <sheetFormatPr baseColWidth="10" defaultRowHeight="14.5" x14ac:dyDescent="0.35"/>
  <cols>
    <col min="6" max="6" width="13.26953125" customWidth="1"/>
  </cols>
  <sheetData>
    <row r="1" spans="1:11" x14ac:dyDescent="0.35">
      <c r="A1" t="s">
        <v>53</v>
      </c>
      <c r="B1" t="s">
        <v>54</v>
      </c>
      <c r="C1" t="s">
        <v>55</v>
      </c>
      <c r="D1" t="s">
        <v>56</v>
      </c>
      <c r="E1" t="s">
        <v>57</v>
      </c>
      <c r="F1" t="s">
        <v>58</v>
      </c>
      <c r="G1" t="s">
        <v>59</v>
      </c>
      <c r="H1" t="s">
        <v>60</v>
      </c>
      <c r="I1" t="s">
        <v>61</v>
      </c>
      <c r="J1" t="s">
        <v>62</v>
      </c>
      <c r="K1" t="s">
        <v>63</v>
      </c>
    </row>
    <row r="2" spans="1:11" x14ac:dyDescent="0.35">
      <c r="A2">
        <v>25301</v>
      </c>
      <c r="B2">
        <v>9301</v>
      </c>
      <c r="C2" t="s">
        <v>147</v>
      </c>
      <c r="E2" t="s">
        <v>36</v>
      </c>
      <c r="F2">
        <v>71090714979</v>
      </c>
      <c r="G2" t="s">
        <v>148</v>
      </c>
      <c r="H2" s="49">
        <v>43313</v>
      </c>
      <c r="I2" t="s">
        <v>80</v>
      </c>
      <c r="J2">
        <v>1200</v>
      </c>
      <c r="K2">
        <v>2387</v>
      </c>
    </row>
    <row r="3" spans="1:11" x14ac:dyDescent="0.35">
      <c r="A3">
        <v>25279</v>
      </c>
      <c r="B3">
        <v>9301</v>
      </c>
      <c r="C3" t="s">
        <v>149</v>
      </c>
      <c r="E3" t="s">
        <v>36</v>
      </c>
      <c r="F3">
        <v>62112113769</v>
      </c>
      <c r="G3" t="s">
        <v>42</v>
      </c>
      <c r="H3" s="49">
        <v>43160</v>
      </c>
      <c r="I3" t="s">
        <v>80</v>
      </c>
      <c r="J3">
        <v>950</v>
      </c>
      <c r="K3">
        <v>0</v>
      </c>
    </row>
    <row r="4" spans="1:11" x14ac:dyDescent="0.35">
      <c r="A4">
        <v>23763</v>
      </c>
      <c r="B4">
        <v>9301</v>
      </c>
      <c r="C4" t="s">
        <v>150</v>
      </c>
      <c r="E4" t="s">
        <v>36</v>
      </c>
      <c r="F4">
        <v>71012900407</v>
      </c>
      <c r="G4" t="s">
        <v>41</v>
      </c>
      <c r="H4" s="49">
        <v>42720</v>
      </c>
      <c r="I4" t="s">
        <v>80</v>
      </c>
      <c r="J4">
        <v>1200</v>
      </c>
      <c r="K4">
        <v>2402</v>
      </c>
    </row>
    <row r="5" spans="1:11" x14ac:dyDescent="0.35">
      <c r="A5">
        <v>26821</v>
      </c>
      <c r="B5">
        <v>9301</v>
      </c>
      <c r="C5" t="s">
        <v>151</v>
      </c>
      <c r="E5" t="s">
        <v>64</v>
      </c>
      <c r="F5">
        <v>62072705575</v>
      </c>
      <c r="G5" t="s">
        <v>82</v>
      </c>
      <c r="H5" s="49">
        <v>25569</v>
      </c>
      <c r="I5" t="s">
        <v>80</v>
      </c>
      <c r="J5">
        <v>1200</v>
      </c>
      <c r="K5">
        <v>0</v>
      </c>
    </row>
    <row r="6" spans="1:11" x14ac:dyDescent="0.35">
      <c r="A6">
        <v>24397</v>
      </c>
      <c r="B6">
        <v>9301</v>
      </c>
      <c r="C6" t="s">
        <v>152</v>
      </c>
      <c r="E6" t="s">
        <v>36</v>
      </c>
      <c r="F6">
        <v>59032308312</v>
      </c>
      <c r="G6" t="s">
        <v>39</v>
      </c>
      <c r="H6" s="49">
        <v>42887</v>
      </c>
      <c r="I6" t="s">
        <v>80</v>
      </c>
      <c r="J6">
        <v>1200</v>
      </c>
      <c r="K6">
        <v>2407</v>
      </c>
    </row>
    <row r="7" spans="1:11" x14ac:dyDescent="0.35">
      <c r="A7">
        <v>15247</v>
      </c>
      <c r="B7">
        <v>9301</v>
      </c>
      <c r="C7" t="s">
        <v>153</v>
      </c>
      <c r="E7" t="s">
        <v>36</v>
      </c>
      <c r="F7">
        <v>76062109014</v>
      </c>
      <c r="G7" t="s">
        <v>37</v>
      </c>
      <c r="H7" s="49">
        <v>43132</v>
      </c>
      <c r="I7" t="s">
        <v>80</v>
      </c>
      <c r="J7">
        <v>500</v>
      </c>
      <c r="K7">
        <v>691.67</v>
      </c>
    </row>
    <row r="8" spans="1:11" x14ac:dyDescent="0.35">
      <c r="A8">
        <v>23161</v>
      </c>
      <c r="B8">
        <v>9301</v>
      </c>
      <c r="C8" t="s">
        <v>154</v>
      </c>
      <c r="E8" t="s">
        <v>36</v>
      </c>
      <c r="F8">
        <v>65073104096</v>
      </c>
      <c r="G8" t="s">
        <v>39</v>
      </c>
      <c r="H8" s="49">
        <v>42583</v>
      </c>
      <c r="I8" t="s">
        <v>80</v>
      </c>
      <c r="J8">
        <v>1200</v>
      </c>
      <c r="K8">
        <v>2500</v>
      </c>
    </row>
    <row r="9" spans="1:11" x14ac:dyDescent="0.35">
      <c r="A9">
        <v>23654</v>
      </c>
      <c r="B9">
        <v>9301</v>
      </c>
      <c r="C9" t="s">
        <v>155</v>
      </c>
      <c r="E9" t="s">
        <v>36</v>
      </c>
      <c r="F9">
        <v>77041701931</v>
      </c>
      <c r="G9" t="s">
        <v>84</v>
      </c>
      <c r="H9" s="49">
        <v>42720</v>
      </c>
      <c r="I9" t="s">
        <v>80</v>
      </c>
      <c r="J9">
        <v>950</v>
      </c>
      <c r="K9">
        <v>1673.17</v>
      </c>
    </row>
    <row r="10" spans="1:11" x14ac:dyDescent="0.35">
      <c r="A10">
        <v>25375</v>
      </c>
      <c r="B10">
        <v>9301</v>
      </c>
      <c r="C10" t="s">
        <v>156</v>
      </c>
      <c r="E10" t="s">
        <v>36</v>
      </c>
      <c r="F10">
        <v>83111126120</v>
      </c>
      <c r="G10" t="s">
        <v>157</v>
      </c>
      <c r="H10" s="49">
        <v>43522</v>
      </c>
      <c r="I10" t="s">
        <v>80</v>
      </c>
      <c r="J10">
        <v>1200</v>
      </c>
      <c r="K10">
        <v>2389</v>
      </c>
    </row>
    <row r="11" spans="1:11" x14ac:dyDescent="0.35">
      <c r="A11">
        <v>25325</v>
      </c>
      <c r="B11">
        <v>9301</v>
      </c>
      <c r="C11" t="s">
        <v>158</v>
      </c>
      <c r="E11" t="s">
        <v>36</v>
      </c>
      <c r="F11">
        <v>77122815968</v>
      </c>
      <c r="G11" t="s">
        <v>68</v>
      </c>
      <c r="H11" s="49">
        <v>43252</v>
      </c>
      <c r="I11" t="s">
        <v>38</v>
      </c>
      <c r="J11">
        <v>1200</v>
      </c>
      <c r="K11">
        <v>2301</v>
      </c>
    </row>
    <row r="12" spans="1:11" x14ac:dyDescent="0.35">
      <c r="A12">
        <v>25167</v>
      </c>
      <c r="B12">
        <v>9421</v>
      </c>
      <c r="C12" t="s">
        <v>159</v>
      </c>
      <c r="E12" t="s">
        <v>36</v>
      </c>
      <c r="F12">
        <v>63121716963</v>
      </c>
      <c r="G12" t="s">
        <v>81</v>
      </c>
      <c r="H12" s="49">
        <v>43258</v>
      </c>
      <c r="I12" t="s">
        <v>48</v>
      </c>
      <c r="J12">
        <v>612</v>
      </c>
      <c r="K12">
        <v>181.5</v>
      </c>
    </row>
    <row r="13" spans="1:11" x14ac:dyDescent="0.35">
      <c r="A13">
        <v>26191</v>
      </c>
      <c r="B13">
        <v>9301</v>
      </c>
      <c r="C13" t="s">
        <v>160</v>
      </c>
      <c r="E13" t="s">
        <v>36</v>
      </c>
      <c r="F13">
        <v>71091205282</v>
      </c>
      <c r="G13" t="s">
        <v>37</v>
      </c>
      <c r="H13" s="49">
        <v>43641</v>
      </c>
      <c r="I13" t="s">
        <v>80</v>
      </c>
      <c r="J13">
        <v>950</v>
      </c>
      <c r="K13">
        <v>1673.17</v>
      </c>
    </row>
    <row r="14" spans="1:11" x14ac:dyDescent="0.35">
      <c r="A14">
        <v>22294</v>
      </c>
      <c r="B14">
        <v>9301</v>
      </c>
      <c r="C14" t="s">
        <v>65</v>
      </c>
      <c r="E14" t="s">
        <v>36</v>
      </c>
      <c r="F14">
        <v>64080109008</v>
      </c>
      <c r="G14" t="s">
        <v>41</v>
      </c>
      <c r="H14" s="49">
        <v>42430</v>
      </c>
      <c r="I14" t="s">
        <v>38</v>
      </c>
      <c r="J14">
        <v>1200</v>
      </c>
      <c r="K14">
        <v>1244</v>
      </c>
    </row>
    <row r="15" spans="1:11" x14ac:dyDescent="0.35">
      <c r="A15">
        <v>24689</v>
      </c>
      <c r="B15">
        <v>9301</v>
      </c>
      <c r="C15" t="s">
        <v>161</v>
      </c>
      <c r="E15" t="s">
        <v>36</v>
      </c>
      <c r="F15">
        <v>84121827727</v>
      </c>
      <c r="G15" t="s">
        <v>82</v>
      </c>
      <c r="H15" s="49">
        <v>43551</v>
      </c>
      <c r="I15" t="s">
        <v>38</v>
      </c>
      <c r="J15">
        <v>1200</v>
      </c>
      <c r="K15">
        <v>1390</v>
      </c>
    </row>
    <row r="16" spans="1:11" x14ac:dyDescent="0.35">
      <c r="A16">
        <v>17739</v>
      </c>
      <c r="B16">
        <v>9301</v>
      </c>
      <c r="C16" t="s">
        <v>162</v>
      </c>
      <c r="E16" t="s">
        <v>36</v>
      </c>
      <c r="F16">
        <v>66040627739</v>
      </c>
      <c r="G16" t="s">
        <v>41</v>
      </c>
      <c r="H16" s="49">
        <v>42685</v>
      </c>
      <c r="I16" t="s">
        <v>38</v>
      </c>
      <c r="J16">
        <v>1200</v>
      </c>
      <c r="K16">
        <v>0</v>
      </c>
    </row>
    <row r="17" spans="1:11" x14ac:dyDescent="0.35">
      <c r="A17">
        <v>25380</v>
      </c>
      <c r="B17">
        <v>9301</v>
      </c>
      <c r="C17" t="s">
        <v>163</v>
      </c>
      <c r="E17" t="s">
        <v>36</v>
      </c>
      <c r="F17">
        <v>66120227099</v>
      </c>
      <c r="G17" t="s">
        <v>42</v>
      </c>
      <c r="H17" s="49">
        <v>43252</v>
      </c>
      <c r="I17" t="s">
        <v>80</v>
      </c>
      <c r="J17">
        <v>950</v>
      </c>
      <c r="K17">
        <v>1394</v>
      </c>
    </row>
    <row r="18" spans="1:11" x14ac:dyDescent="0.35">
      <c r="A18">
        <v>23528</v>
      </c>
      <c r="B18">
        <v>9301</v>
      </c>
      <c r="C18" t="s">
        <v>164</v>
      </c>
      <c r="E18" t="s">
        <v>36</v>
      </c>
      <c r="F18">
        <v>63120716944</v>
      </c>
      <c r="G18" t="s">
        <v>69</v>
      </c>
      <c r="H18" s="49">
        <v>42614</v>
      </c>
      <c r="I18" t="s">
        <v>38</v>
      </c>
      <c r="J18">
        <v>1200</v>
      </c>
      <c r="K18">
        <v>2407</v>
      </c>
    </row>
    <row r="19" spans="1:11" x14ac:dyDescent="0.35">
      <c r="A19">
        <v>25262</v>
      </c>
      <c r="B19">
        <v>9301</v>
      </c>
      <c r="C19" t="s">
        <v>165</v>
      </c>
      <c r="E19" t="s">
        <v>36</v>
      </c>
      <c r="F19">
        <v>80120303237</v>
      </c>
      <c r="G19" t="s">
        <v>72</v>
      </c>
      <c r="H19" s="49">
        <v>43191</v>
      </c>
      <c r="I19" t="s">
        <v>80</v>
      </c>
      <c r="J19">
        <v>1200</v>
      </c>
      <c r="K19">
        <v>2500</v>
      </c>
    </row>
    <row r="20" spans="1:11" x14ac:dyDescent="0.35">
      <c r="A20">
        <v>25535</v>
      </c>
      <c r="B20">
        <v>9301</v>
      </c>
      <c r="C20" t="s">
        <v>166</v>
      </c>
      <c r="E20" t="s">
        <v>36</v>
      </c>
      <c r="F20">
        <v>62090609329</v>
      </c>
      <c r="G20" t="s">
        <v>42</v>
      </c>
      <c r="H20" s="49">
        <v>43405</v>
      </c>
      <c r="I20" t="s">
        <v>80</v>
      </c>
      <c r="J20">
        <v>778</v>
      </c>
      <c r="K20">
        <v>1303.83</v>
      </c>
    </row>
    <row r="21" spans="1:11" x14ac:dyDescent="0.35">
      <c r="A21">
        <v>25313</v>
      </c>
      <c r="B21">
        <v>9301</v>
      </c>
      <c r="C21" t="s">
        <v>167</v>
      </c>
      <c r="E21" t="s">
        <v>36</v>
      </c>
      <c r="F21">
        <v>66022406428</v>
      </c>
      <c r="G21" t="s">
        <v>41</v>
      </c>
      <c r="H21" s="49">
        <v>43252</v>
      </c>
      <c r="I21" t="s">
        <v>38</v>
      </c>
      <c r="J21">
        <v>1200</v>
      </c>
      <c r="K21">
        <v>1822</v>
      </c>
    </row>
    <row r="22" spans="1:11" x14ac:dyDescent="0.35">
      <c r="A22">
        <v>24838</v>
      </c>
      <c r="B22">
        <v>9301</v>
      </c>
      <c r="C22" t="s">
        <v>168</v>
      </c>
      <c r="E22" t="s">
        <v>36</v>
      </c>
      <c r="F22">
        <v>75092818791</v>
      </c>
      <c r="G22" t="s">
        <v>66</v>
      </c>
      <c r="H22" s="49">
        <v>43551</v>
      </c>
      <c r="I22" t="s">
        <v>80</v>
      </c>
      <c r="J22">
        <v>1200</v>
      </c>
      <c r="K22">
        <v>2301</v>
      </c>
    </row>
    <row r="23" spans="1:11" x14ac:dyDescent="0.35">
      <c r="A23">
        <v>24311</v>
      </c>
      <c r="B23">
        <v>9301</v>
      </c>
      <c r="C23" t="s">
        <v>67</v>
      </c>
      <c r="E23" t="s">
        <v>36</v>
      </c>
      <c r="F23">
        <v>63022707924</v>
      </c>
      <c r="G23" t="s">
        <v>68</v>
      </c>
      <c r="H23" s="49">
        <v>42948</v>
      </c>
      <c r="I23" t="s">
        <v>38</v>
      </c>
      <c r="J23">
        <v>1200</v>
      </c>
      <c r="K23">
        <v>1297</v>
      </c>
    </row>
    <row r="24" spans="1:11" x14ac:dyDescent="0.35">
      <c r="A24">
        <v>24781</v>
      </c>
      <c r="B24">
        <v>9301</v>
      </c>
      <c r="C24" t="s">
        <v>169</v>
      </c>
      <c r="E24" t="s">
        <v>36</v>
      </c>
      <c r="F24">
        <v>66112212153</v>
      </c>
      <c r="G24" t="s">
        <v>39</v>
      </c>
      <c r="H24" s="49">
        <v>43221</v>
      </c>
      <c r="I24" t="s">
        <v>80</v>
      </c>
      <c r="J24">
        <v>1200</v>
      </c>
      <c r="K24">
        <v>2500</v>
      </c>
    </row>
    <row r="25" spans="1:11" x14ac:dyDescent="0.35">
      <c r="A25">
        <v>24673</v>
      </c>
      <c r="B25">
        <v>9301</v>
      </c>
      <c r="C25" t="s">
        <v>170</v>
      </c>
      <c r="E25" t="s">
        <v>36</v>
      </c>
      <c r="F25">
        <v>58110900661</v>
      </c>
      <c r="G25" t="s">
        <v>171</v>
      </c>
      <c r="H25" s="49">
        <v>43252</v>
      </c>
      <c r="I25" t="s">
        <v>80</v>
      </c>
      <c r="J25">
        <v>1200</v>
      </c>
      <c r="K25">
        <v>1894</v>
      </c>
    </row>
    <row r="26" spans="1:11" x14ac:dyDescent="0.35">
      <c r="A26">
        <v>13483</v>
      </c>
      <c r="B26">
        <v>9301</v>
      </c>
      <c r="C26" t="s">
        <v>172</v>
      </c>
      <c r="E26" t="s">
        <v>64</v>
      </c>
      <c r="F26">
        <v>68031000067</v>
      </c>
      <c r="G26" t="s">
        <v>173</v>
      </c>
      <c r="H26" s="49">
        <v>43904</v>
      </c>
      <c r="I26" t="s">
        <v>43</v>
      </c>
      <c r="J26">
        <v>1200</v>
      </c>
      <c r="K26">
        <v>0</v>
      </c>
    </row>
    <row r="27" spans="1:11" x14ac:dyDescent="0.35">
      <c r="A27">
        <v>23478</v>
      </c>
      <c r="B27">
        <v>9301</v>
      </c>
      <c r="C27" t="s">
        <v>174</v>
      </c>
      <c r="E27" t="s">
        <v>36</v>
      </c>
      <c r="F27">
        <v>66082300763</v>
      </c>
      <c r="G27" t="s">
        <v>41</v>
      </c>
      <c r="H27" s="49">
        <v>42614</v>
      </c>
      <c r="I27" t="s">
        <v>80</v>
      </c>
      <c r="J27">
        <v>1200</v>
      </c>
      <c r="K27">
        <v>2279</v>
      </c>
    </row>
    <row r="28" spans="1:11" x14ac:dyDescent="0.35">
      <c r="A28">
        <v>26652</v>
      </c>
      <c r="B28">
        <v>9301</v>
      </c>
      <c r="C28" t="s">
        <v>175</v>
      </c>
      <c r="E28" t="s">
        <v>176</v>
      </c>
      <c r="F28">
        <v>64092529206</v>
      </c>
      <c r="G28" t="s">
        <v>82</v>
      </c>
      <c r="H28" s="49">
        <v>25569</v>
      </c>
      <c r="I28" t="s">
        <v>80</v>
      </c>
      <c r="J28">
        <v>1200</v>
      </c>
      <c r="K28">
        <v>0</v>
      </c>
    </row>
    <row r="29" spans="1:11" x14ac:dyDescent="0.35">
      <c r="A29">
        <v>23480</v>
      </c>
      <c r="B29">
        <v>9301</v>
      </c>
      <c r="C29" t="s">
        <v>177</v>
      </c>
      <c r="E29" t="s">
        <v>36</v>
      </c>
      <c r="F29">
        <v>55011001802</v>
      </c>
      <c r="G29" t="s">
        <v>44</v>
      </c>
      <c r="H29" s="49">
        <v>42675</v>
      </c>
      <c r="I29" t="s">
        <v>80</v>
      </c>
      <c r="J29">
        <v>1200</v>
      </c>
      <c r="K29">
        <v>0</v>
      </c>
    </row>
    <row r="30" spans="1:11" x14ac:dyDescent="0.35">
      <c r="A30">
        <v>25563</v>
      </c>
      <c r="B30">
        <v>9301</v>
      </c>
      <c r="C30" t="s">
        <v>178</v>
      </c>
      <c r="E30" t="s">
        <v>36</v>
      </c>
      <c r="F30">
        <v>76112701516</v>
      </c>
      <c r="G30" t="s">
        <v>71</v>
      </c>
      <c r="H30" s="49">
        <v>43405</v>
      </c>
      <c r="I30" t="s">
        <v>80</v>
      </c>
      <c r="J30">
        <v>950</v>
      </c>
      <c r="K30">
        <v>1779.17</v>
      </c>
    </row>
    <row r="31" spans="1:11" x14ac:dyDescent="0.35">
      <c r="A31">
        <v>27635</v>
      </c>
      <c r="B31">
        <v>9301</v>
      </c>
      <c r="C31" t="s">
        <v>179</v>
      </c>
      <c r="E31" t="s">
        <v>36</v>
      </c>
      <c r="F31">
        <v>58122504887</v>
      </c>
      <c r="G31" t="s">
        <v>180</v>
      </c>
      <c r="H31" s="49">
        <v>44232</v>
      </c>
      <c r="I31" t="s">
        <v>46</v>
      </c>
      <c r="J31">
        <v>660</v>
      </c>
      <c r="K31">
        <v>0</v>
      </c>
    </row>
    <row r="32" spans="1:11" x14ac:dyDescent="0.35">
      <c r="A32">
        <v>25787</v>
      </c>
      <c r="B32">
        <v>9301</v>
      </c>
      <c r="C32" t="s">
        <v>181</v>
      </c>
      <c r="E32" t="s">
        <v>36</v>
      </c>
      <c r="F32">
        <v>74093005075</v>
      </c>
      <c r="G32" t="s">
        <v>182</v>
      </c>
      <c r="H32" s="49">
        <v>43494</v>
      </c>
      <c r="I32" t="s">
        <v>80</v>
      </c>
      <c r="J32">
        <v>1200</v>
      </c>
      <c r="K32">
        <v>2490</v>
      </c>
    </row>
    <row r="33" spans="1:11" x14ac:dyDescent="0.35">
      <c r="A33">
        <v>23808</v>
      </c>
      <c r="B33">
        <v>9301</v>
      </c>
      <c r="C33" t="s">
        <v>183</v>
      </c>
      <c r="E33" t="s">
        <v>36</v>
      </c>
      <c r="F33">
        <v>81120200276</v>
      </c>
      <c r="G33" t="s">
        <v>184</v>
      </c>
      <c r="H33" s="49">
        <v>42767</v>
      </c>
      <c r="I33" t="s">
        <v>185</v>
      </c>
      <c r="J33">
        <v>1200</v>
      </c>
      <c r="K33">
        <v>2500</v>
      </c>
    </row>
    <row r="34" spans="1:11" x14ac:dyDescent="0.35">
      <c r="A34">
        <v>25432</v>
      </c>
      <c r="B34">
        <v>9301</v>
      </c>
      <c r="C34" t="s">
        <v>186</v>
      </c>
      <c r="E34" t="s">
        <v>36</v>
      </c>
      <c r="F34">
        <v>66011601552</v>
      </c>
      <c r="G34" t="s">
        <v>187</v>
      </c>
      <c r="H34" s="49">
        <v>43551</v>
      </c>
      <c r="I34" t="s">
        <v>38</v>
      </c>
      <c r="J34">
        <v>950</v>
      </c>
      <c r="K34">
        <v>1058.17</v>
      </c>
    </row>
    <row r="35" spans="1:11" x14ac:dyDescent="0.35">
      <c r="A35">
        <v>24827</v>
      </c>
      <c r="B35">
        <v>9301</v>
      </c>
      <c r="C35" t="s">
        <v>188</v>
      </c>
      <c r="E35" t="s">
        <v>36</v>
      </c>
      <c r="F35">
        <v>67060800966</v>
      </c>
      <c r="G35" t="s">
        <v>34</v>
      </c>
      <c r="H35" s="49">
        <v>43132</v>
      </c>
      <c r="I35" t="s">
        <v>80</v>
      </c>
      <c r="J35">
        <v>1200</v>
      </c>
      <c r="K35">
        <v>0</v>
      </c>
    </row>
    <row r="36" spans="1:11" x14ac:dyDescent="0.35">
      <c r="A36">
        <v>26581</v>
      </c>
      <c r="B36">
        <v>9301</v>
      </c>
      <c r="C36" t="s">
        <v>189</v>
      </c>
      <c r="E36" t="s">
        <v>64</v>
      </c>
      <c r="F36">
        <v>71031819673</v>
      </c>
      <c r="G36" t="s">
        <v>82</v>
      </c>
      <c r="H36" s="49">
        <v>25569</v>
      </c>
      <c r="I36" t="s">
        <v>80</v>
      </c>
      <c r="J36">
        <v>1200</v>
      </c>
      <c r="K36">
        <v>0</v>
      </c>
    </row>
    <row r="37" spans="1:11" x14ac:dyDescent="0.35">
      <c r="A37">
        <v>26090</v>
      </c>
      <c r="B37">
        <v>9301</v>
      </c>
      <c r="C37" t="s">
        <v>230</v>
      </c>
      <c r="E37" t="s">
        <v>35</v>
      </c>
      <c r="F37">
        <v>72042200755</v>
      </c>
      <c r="G37" t="s">
        <v>231</v>
      </c>
      <c r="H37" s="49">
        <v>43524</v>
      </c>
      <c r="I37" t="s">
        <v>70</v>
      </c>
      <c r="J37">
        <v>600</v>
      </c>
      <c r="K37">
        <v>0</v>
      </c>
    </row>
    <row r="38" spans="1:11" x14ac:dyDescent="0.35">
      <c r="A38">
        <v>25646</v>
      </c>
      <c r="B38">
        <v>9301</v>
      </c>
      <c r="C38" t="s">
        <v>190</v>
      </c>
      <c r="E38" t="s">
        <v>36</v>
      </c>
      <c r="F38">
        <v>68091210850</v>
      </c>
      <c r="G38" t="s">
        <v>42</v>
      </c>
      <c r="H38" s="49">
        <v>43405</v>
      </c>
      <c r="I38" t="s">
        <v>38</v>
      </c>
      <c r="J38">
        <v>950</v>
      </c>
      <c r="K38">
        <v>1594</v>
      </c>
    </row>
    <row r="39" spans="1:11" x14ac:dyDescent="0.35">
      <c r="A39">
        <v>23215</v>
      </c>
      <c r="B39">
        <v>9301</v>
      </c>
      <c r="C39" t="s">
        <v>191</v>
      </c>
      <c r="E39" t="s">
        <v>36</v>
      </c>
      <c r="F39">
        <v>82122115612</v>
      </c>
      <c r="G39" t="s">
        <v>41</v>
      </c>
      <c r="H39" s="49">
        <v>42587</v>
      </c>
      <c r="I39" t="s">
        <v>38</v>
      </c>
      <c r="J39">
        <v>1200</v>
      </c>
      <c r="K39">
        <v>2500</v>
      </c>
    </row>
    <row r="40" spans="1:11" x14ac:dyDescent="0.35">
      <c r="A40">
        <v>23884</v>
      </c>
      <c r="B40">
        <v>9301</v>
      </c>
      <c r="C40" t="s">
        <v>192</v>
      </c>
      <c r="E40" t="s">
        <v>36</v>
      </c>
      <c r="F40">
        <v>62081114642</v>
      </c>
      <c r="G40" t="s">
        <v>39</v>
      </c>
      <c r="H40" s="49">
        <v>42948</v>
      </c>
      <c r="I40" t="s">
        <v>80</v>
      </c>
      <c r="J40">
        <v>1200</v>
      </c>
      <c r="K40">
        <v>2500</v>
      </c>
    </row>
    <row r="41" spans="1:11" x14ac:dyDescent="0.35">
      <c r="A41">
        <v>24374</v>
      </c>
      <c r="B41">
        <v>9301</v>
      </c>
      <c r="C41" t="s">
        <v>193</v>
      </c>
      <c r="E41" t="s">
        <v>36</v>
      </c>
      <c r="F41">
        <v>78110631852</v>
      </c>
      <c r="G41" t="s">
        <v>194</v>
      </c>
      <c r="H41" s="49">
        <v>42887</v>
      </c>
      <c r="I41" t="s">
        <v>80</v>
      </c>
      <c r="J41">
        <v>1200</v>
      </c>
      <c r="K41">
        <v>2394</v>
      </c>
    </row>
    <row r="42" spans="1:11" x14ac:dyDescent="0.35">
      <c r="A42">
        <v>26076</v>
      </c>
      <c r="B42">
        <v>9301</v>
      </c>
      <c r="C42" t="s">
        <v>195</v>
      </c>
      <c r="E42" t="s">
        <v>36</v>
      </c>
      <c r="F42">
        <v>63110109713</v>
      </c>
      <c r="G42" t="s">
        <v>196</v>
      </c>
      <c r="H42" s="49">
        <v>43571</v>
      </c>
      <c r="I42" t="s">
        <v>43</v>
      </c>
      <c r="J42">
        <v>1200</v>
      </c>
      <c r="K42">
        <v>0</v>
      </c>
    </row>
    <row r="43" spans="1:11" x14ac:dyDescent="0.35">
      <c r="A43">
        <v>24353</v>
      </c>
      <c r="B43">
        <v>9301</v>
      </c>
      <c r="C43" t="s">
        <v>197</v>
      </c>
      <c r="E43" t="s">
        <v>36</v>
      </c>
      <c r="F43">
        <v>66012312261</v>
      </c>
      <c r="G43" t="s">
        <v>182</v>
      </c>
      <c r="H43" s="49">
        <v>42887</v>
      </c>
      <c r="I43" t="s">
        <v>80</v>
      </c>
      <c r="J43">
        <v>1200</v>
      </c>
      <c r="K43">
        <v>2500</v>
      </c>
    </row>
    <row r="44" spans="1:11" x14ac:dyDescent="0.35">
      <c r="A44">
        <v>25463</v>
      </c>
      <c r="B44">
        <v>9301</v>
      </c>
      <c r="C44" t="s">
        <v>198</v>
      </c>
      <c r="E44" t="s">
        <v>36</v>
      </c>
      <c r="F44">
        <v>83101929322</v>
      </c>
      <c r="G44" t="s">
        <v>34</v>
      </c>
      <c r="H44" s="49">
        <v>43405</v>
      </c>
      <c r="I44" t="s">
        <v>80</v>
      </c>
      <c r="J44">
        <v>1200</v>
      </c>
      <c r="K44">
        <v>2301</v>
      </c>
    </row>
    <row r="45" spans="1:11" x14ac:dyDescent="0.35">
      <c r="A45">
        <v>5563</v>
      </c>
      <c r="B45">
        <v>9301</v>
      </c>
      <c r="C45" t="s">
        <v>199</v>
      </c>
      <c r="E45" t="s">
        <v>64</v>
      </c>
      <c r="F45">
        <v>63081403294</v>
      </c>
      <c r="G45" t="s">
        <v>82</v>
      </c>
      <c r="H45" s="49">
        <v>25569</v>
      </c>
      <c r="I45" t="s">
        <v>80</v>
      </c>
      <c r="J45">
        <v>1200</v>
      </c>
      <c r="K45">
        <v>0</v>
      </c>
    </row>
    <row r="46" spans="1:11" x14ac:dyDescent="0.35">
      <c r="A46">
        <v>16163</v>
      </c>
      <c r="B46">
        <v>9301</v>
      </c>
      <c r="C46" t="s">
        <v>200</v>
      </c>
      <c r="E46" t="s">
        <v>36</v>
      </c>
      <c r="F46">
        <v>66052808919</v>
      </c>
      <c r="G46" t="s">
        <v>201</v>
      </c>
      <c r="H46" s="49">
        <v>43551</v>
      </c>
      <c r="I46" t="s">
        <v>80</v>
      </c>
      <c r="J46">
        <v>1200</v>
      </c>
      <c r="K46">
        <v>1822</v>
      </c>
    </row>
    <row r="47" spans="1:11" x14ac:dyDescent="0.35">
      <c r="A47">
        <v>25598</v>
      </c>
      <c r="B47">
        <v>9301</v>
      </c>
      <c r="C47" t="s">
        <v>202</v>
      </c>
      <c r="E47" t="s">
        <v>36</v>
      </c>
      <c r="F47">
        <v>60082616801</v>
      </c>
      <c r="G47" t="s">
        <v>203</v>
      </c>
      <c r="H47" s="49">
        <v>43405</v>
      </c>
      <c r="I47" t="s">
        <v>80</v>
      </c>
      <c r="J47">
        <v>950</v>
      </c>
      <c r="K47">
        <v>1673.17</v>
      </c>
    </row>
    <row r="48" spans="1:11" x14ac:dyDescent="0.35">
      <c r="A48">
        <v>23715</v>
      </c>
      <c r="B48">
        <v>9500</v>
      </c>
      <c r="C48" t="s">
        <v>204</v>
      </c>
      <c r="E48" t="s">
        <v>36</v>
      </c>
      <c r="F48">
        <v>86042216988</v>
      </c>
      <c r="G48" t="s">
        <v>205</v>
      </c>
      <c r="H48" s="49">
        <v>42762</v>
      </c>
      <c r="I48" t="s">
        <v>83</v>
      </c>
      <c r="J48">
        <v>522</v>
      </c>
      <c r="K48">
        <v>0</v>
      </c>
    </row>
    <row r="49" spans="1:11" x14ac:dyDescent="0.35">
      <c r="A49">
        <v>26171</v>
      </c>
      <c r="B49">
        <v>9301</v>
      </c>
      <c r="C49" t="s">
        <v>206</v>
      </c>
      <c r="E49" t="s">
        <v>36</v>
      </c>
      <c r="F49">
        <v>77121906782</v>
      </c>
      <c r="G49" t="s">
        <v>40</v>
      </c>
      <c r="H49" s="49">
        <v>43551</v>
      </c>
      <c r="I49" t="s">
        <v>38</v>
      </c>
      <c r="J49">
        <v>1200</v>
      </c>
      <c r="K49">
        <v>2394</v>
      </c>
    </row>
    <row r="50" spans="1:11" x14ac:dyDescent="0.35">
      <c r="A50">
        <v>24542</v>
      </c>
      <c r="B50">
        <v>9301</v>
      </c>
      <c r="C50" t="s">
        <v>207</v>
      </c>
      <c r="E50" t="s">
        <v>36</v>
      </c>
      <c r="F50">
        <v>69072913008</v>
      </c>
      <c r="G50" t="s">
        <v>208</v>
      </c>
      <c r="H50" s="49">
        <v>42979</v>
      </c>
      <c r="I50" t="s">
        <v>80</v>
      </c>
      <c r="J50">
        <v>1200</v>
      </c>
      <c r="K50">
        <v>2500</v>
      </c>
    </row>
    <row r="51" spans="1:11" x14ac:dyDescent="0.35">
      <c r="A51">
        <v>23613</v>
      </c>
      <c r="B51">
        <v>9090</v>
      </c>
      <c r="C51" t="s">
        <v>209</v>
      </c>
      <c r="E51" t="s">
        <v>36</v>
      </c>
      <c r="F51">
        <v>88102121029</v>
      </c>
      <c r="G51" t="s">
        <v>210</v>
      </c>
      <c r="H51" s="49">
        <v>43405</v>
      </c>
      <c r="I51" t="s">
        <v>47</v>
      </c>
      <c r="J51">
        <v>522</v>
      </c>
      <c r="K51">
        <v>269</v>
      </c>
    </row>
    <row r="52" spans="1:11" x14ac:dyDescent="0.35">
      <c r="A52">
        <v>23857</v>
      </c>
      <c r="B52">
        <v>9301</v>
      </c>
      <c r="C52" t="s">
        <v>211</v>
      </c>
      <c r="E52" t="s">
        <v>36</v>
      </c>
      <c r="F52">
        <v>84091224184</v>
      </c>
      <c r="G52" t="s">
        <v>68</v>
      </c>
      <c r="H52" s="49">
        <v>42826</v>
      </c>
      <c r="I52" t="s">
        <v>80</v>
      </c>
      <c r="J52">
        <v>1200</v>
      </c>
      <c r="K52">
        <v>0</v>
      </c>
    </row>
    <row r="53" spans="1:11" x14ac:dyDescent="0.35">
      <c r="A53">
        <v>23700</v>
      </c>
      <c r="B53">
        <v>9300</v>
      </c>
      <c r="C53" t="s">
        <v>212</v>
      </c>
      <c r="E53" t="s">
        <v>36</v>
      </c>
      <c r="F53">
        <v>67070500186</v>
      </c>
      <c r="G53" t="s">
        <v>213</v>
      </c>
      <c r="H53" s="49">
        <v>43101</v>
      </c>
      <c r="I53" t="s">
        <v>51</v>
      </c>
      <c r="J53">
        <v>1200</v>
      </c>
      <c r="K53">
        <v>1588</v>
      </c>
    </row>
    <row r="54" spans="1:11" x14ac:dyDescent="0.35">
      <c r="A54">
        <v>20485</v>
      </c>
      <c r="B54">
        <v>9301</v>
      </c>
      <c r="C54" t="s">
        <v>214</v>
      </c>
      <c r="E54" t="s">
        <v>36</v>
      </c>
      <c r="F54">
        <v>70101006056</v>
      </c>
      <c r="G54" t="s">
        <v>37</v>
      </c>
      <c r="H54" s="49">
        <v>43132</v>
      </c>
      <c r="I54" t="s">
        <v>80</v>
      </c>
      <c r="J54">
        <v>650</v>
      </c>
      <c r="K54">
        <v>1079.17</v>
      </c>
    </row>
    <row r="55" spans="1:11" x14ac:dyDescent="0.35">
      <c r="A55">
        <v>25442</v>
      </c>
      <c r="B55">
        <v>9301</v>
      </c>
      <c r="C55" t="s">
        <v>215</v>
      </c>
      <c r="E55" t="s">
        <v>36</v>
      </c>
      <c r="F55">
        <v>62123017390</v>
      </c>
      <c r="G55" t="s">
        <v>42</v>
      </c>
      <c r="H55" s="49">
        <v>43252</v>
      </c>
      <c r="I55" t="s">
        <v>80</v>
      </c>
      <c r="J55">
        <v>950</v>
      </c>
      <c r="K55">
        <v>1743.17</v>
      </c>
    </row>
    <row r="56" spans="1:11" x14ac:dyDescent="0.35">
      <c r="A56">
        <v>24766</v>
      </c>
      <c r="B56">
        <v>9301</v>
      </c>
      <c r="C56" t="s">
        <v>216</v>
      </c>
      <c r="E56" t="s">
        <v>36</v>
      </c>
      <c r="F56">
        <v>72041605376</v>
      </c>
      <c r="G56" t="s">
        <v>66</v>
      </c>
      <c r="H56" s="49">
        <v>43252</v>
      </c>
      <c r="I56" t="s">
        <v>80</v>
      </c>
      <c r="J56">
        <v>1200</v>
      </c>
      <c r="K56">
        <v>2301</v>
      </c>
    </row>
    <row r="57" spans="1:11" x14ac:dyDescent="0.35">
      <c r="A57">
        <v>23628</v>
      </c>
      <c r="B57">
        <v>9301</v>
      </c>
      <c r="C57" t="s">
        <v>217</v>
      </c>
      <c r="E57" t="s">
        <v>36</v>
      </c>
      <c r="F57">
        <v>64042105078</v>
      </c>
      <c r="G57" t="s">
        <v>82</v>
      </c>
      <c r="H57" s="49">
        <v>42675</v>
      </c>
      <c r="I57" t="s">
        <v>80</v>
      </c>
      <c r="J57">
        <v>1200</v>
      </c>
      <c r="K57">
        <v>2500</v>
      </c>
    </row>
    <row r="58" spans="1:11" x14ac:dyDescent="0.35">
      <c r="A58">
        <v>26599</v>
      </c>
      <c r="B58">
        <v>9301</v>
      </c>
      <c r="C58" t="s">
        <v>218</v>
      </c>
      <c r="E58" t="s">
        <v>64</v>
      </c>
      <c r="F58">
        <v>63082215424</v>
      </c>
      <c r="G58" t="s">
        <v>82</v>
      </c>
      <c r="H58" s="49">
        <v>25569</v>
      </c>
      <c r="I58" t="s">
        <v>80</v>
      </c>
      <c r="J58">
        <v>1200</v>
      </c>
      <c r="K58">
        <v>0</v>
      </c>
    </row>
    <row r="59" spans="1:11" x14ac:dyDescent="0.35">
      <c r="A59">
        <v>24580</v>
      </c>
      <c r="B59">
        <v>9301</v>
      </c>
      <c r="C59" t="s">
        <v>219</v>
      </c>
      <c r="E59" t="s">
        <v>36</v>
      </c>
      <c r="F59">
        <v>63060809061</v>
      </c>
      <c r="G59" t="s">
        <v>208</v>
      </c>
      <c r="H59" s="49">
        <v>42979</v>
      </c>
      <c r="I59" t="s">
        <v>80</v>
      </c>
      <c r="J59">
        <v>1200</v>
      </c>
      <c r="K59">
        <v>2279</v>
      </c>
    </row>
    <row r="60" spans="1:11" x14ac:dyDescent="0.35">
      <c r="A60">
        <v>25446</v>
      </c>
      <c r="B60">
        <v>9301</v>
      </c>
      <c r="C60" t="s">
        <v>220</v>
      </c>
      <c r="E60" t="s">
        <v>36</v>
      </c>
      <c r="F60">
        <v>77112023404</v>
      </c>
      <c r="G60" t="s">
        <v>49</v>
      </c>
      <c r="H60" s="49">
        <v>43313</v>
      </c>
      <c r="I60" t="s">
        <v>80</v>
      </c>
      <c r="J60">
        <v>950</v>
      </c>
      <c r="K60">
        <v>1748.17</v>
      </c>
    </row>
    <row r="61" spans="1:11" x14ac:dyDescent="0.35">
      <c r="A61">
        <v>25376</v>
      </c>
      <c r="B61">
        <v>9301</v>
      </c>
      <c r="C61" t="s">
        <v>221</v>
      </c>
      <c r="E61" t="s">
        <v>36</v>
      </c>
      <c r="F61">
        <v>72052709036</v>
      </c>
      <c r="G61" t="s">
        <v>50</v>
      </c>
      <c r="H61" s="49">
        <v>43313</v>
      </c>
      <c r="I61" t="s">
        <v>80</v>
      </c>
      <c r="J61">
        <v>950</v>
      </c>
      <c r="K61">
        <v>1748.17</v>
      </c>
    </row>
    <row r="62" spans="1:11" x14ac:dyDescent="0.35">
      <c r="A62">
        <v>23646</v>
      </c>
      <c r="B62">
        <v>9301</v>
      </c>
      <c r="C62" t="s">
        <v>222</v>
      </c>
      <c r="E62" t="s">
        <v>36</v>
      </c>
      <c r="F62">
        <v>52050100735</v>
      </c>
      <c r="G62" t="s">
        <v>42</v>
      </c>
      <c r="H62" s="49">
        <v>43132</v>
      </c>
      <c r="I62" t="s">
        <v>80</v>
      </c>
      <c r="J62">
        <v>778</v>
      </c>
      <c r="K62">
        <v>1242.83</v>
      </c>
    </row>
    <row r="63" spans="1:11" x14ac:dyDescent="0.35">
      <c r="A63">
        <v>24783</v>
      </c>
      <c r="B63">
        <v>9301</v>
      </c>
      <c r="C63" t="s">
        <v>223</v>
      </c>
      <c r="E63" t="s">
        <v>36</v>
      </c>
      <c r="F63">
        <v>71061926492</v>
      </c>
      <c r="G63" t="s">
        <v>39</v>
      </c>
      <c r="H63" s="49">
        <v>43070</v>
      </c>
      <c r="I63" t="s">
        <v>80</v>
      </c>
      <c r="J63">
        <v>1200</v>
      </c>
      <c r="K63">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7"/>
  <dimension ref="A2:I20"/>
  <sheetViews>
    <sheetView topLeftCell="A4" zoomScale="85" zoomScaleNormal="85" workbookViewId="0">
      <selection activeCell="A6" sqref="A6:A7"/>
    </sheetView>
  </sheetViews>
  <sheetFormatPr baseColWidth="10" defaultRowHeight="14.5" x14ac:dyDescent="0.35"/>
  <cols>
    <col min="1" max="1" width="42.26953125" customWidth="1"/>
    <col min="2" max="2" width="2.453125" customWidth="1"/>
    <col min="3" max="3" width="42.7265625" customWidth="1"/>
  </cols>
  <sheetData>
    <row r="2" spans="1:9" ht="15.75" customHeight="1" x14ac:dyDescent="0.35">
      <c r="A2" s="54"/>
      <c r="B2" s="22" t="s">
        <v>31</v>
      </c>
      <c r="C2" s="54"/>
    </row>
    <row r="3" spans="1:9" x14ac:dyDescent="0.35">
      <c r="A3" s="54"/>
      <c r="B3" s="22" t="s">
        <v>413</v>
      </c>
      <c r="C3" s="54"/>
    </row>
    <row r="4" spans="1:9" x14ac:dyDescent="0.35">
      <c r="A4" s="54"/>
      <c r="B4" s="23" t="s">
        <v>410</v>
      </c>
      <c r="C4" s="54"/>
    </row>
    <row r="5" spans="1:9" x14ac:dyDescent="0.35">
      <c r="A5" s="54"/>
      <c r="B5" s="54"/>
      <c r="C5" s="54"/>
    </row>
    <row r="6" spans="1:9" ht="409.5" customHeight="1" x14ac:dyDescent="0.35">
      <c r="A6" s="263" t="s">
        <v>423</v>
      </c>
      <c r="B6" s="119"/>
      <c r="C6" s="263" t="s">
        <v>424</v>
      </c>
    </row>
    <row r="7" spans="1:9" ht="204" customHeight="1" x14ac:dyDescent="0.35">
      <c r="A7" s="264"/>
      <c r="B7" s="54"/>
      <c r="C7" s="264"/>
    </row>
    <row r="11" spans="1:9" x14ac:dyDescent="0.35">
      <c r="I11" s="37"/>
    </row>
    <row r="12" spans="1:9" x14ac:dyDescent="0.35">
      <c r="A12" s="37"/>
    </row>
    <row r="13" spans="1:9" x14ac:dyDescent="0.35">
      <c r="I13" s="37"/>
    </row>
    <row r="14" spans="1:9" x14ac:dyDescent="0.35">
      <c r="I14" s="68"/>
    </row>
    <row r="19" spans="1:2" x14ac:dyDescent="0.35">
      <c r="A19" t="s">
        <v>22</v>
      </c>
      <c r="B19" s="37"/>
    </row>
    <row r="20" spans="1:2" x14ac:dyDescent="0.35">
      <c r="A20" t="s">
        <v>22</v>
      </c>
      <c r="B20" s="69"/>
    </row>
  </sheetData>
  <mergeCells count="2">
    <mergeCell ref="A6:A7"/>
    <mergeCell ref="C6:C7"/>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2"/>
  <dimension ref="A1:K5"/>
  <sheetViews>
    <sheetView topLeftCell="D1" zoomScaleNormal="100" workbookViewId="0">
      <selection activeCell="G15" sqref="G15"/>
    </sheetView>
  </sheetViews>
  <sheetFormatPr baseColWidth="10" defaultRowHeight="14.5" x14ac:dyDescent="0.35"/>
  <cols>
    <col min="1" max="1" width="9.1796875" customWidth="1"/>
    <col min="2" max="2" width="18.54296875" customWidth="1"/>
    <col min="3" max="3" width="29" customWidth="1"/>
    <col min="4" max="4" width="25.54296875" customWidth="1"/>
    <col min="5" max="5" width="12" customWidth="1"/>
    <col min="6" max="6" width="22.1796875" customWidth="1"/>
    <col min="7" max="7" width="12" customWidth="1"/>
    <col min="8" max="8" width="15.1796875" customWidth="1"/>
    <col min="9" max="9" width="36.81640625" customWidth="1"/>
    <col min="10" max="10" width="19.1796875" customWidth="1"/>
  </cols>
  <sheetData>
    <row r="1" spans="1:11" ht="40.5" customHeight="1" x14ac:dyDescent="0.35">
      <c r="A1" s="133" t="s">
        <v>131</v>
      </c>
      <c r="B1" s="134" t="s">
        <v>90</v>
      </c>
      <c r="C1" s="134" t="s">
        <v>87</v>
      </c>
      <c r="D1" s="134" t="s">
        <v>85</v>
      </c>
      <c r="E1" s="134" t="s">
        <v>140</v>
      </c>
      <c r="F1" s="134" t="s">
        <v>86</v>
      </c>
      <c r="G1" s="134" t="s">
        <v>141</v>
      </c>
      <c r="H1" s="134" t="s">
        <v>88</v>
      </c>
      <c r="I1" s="134" t="s">
        <v>89</v>
      </c>
      <c r="J1" s="134" t="s">
        <v>102</v>
      </c>
      <c r="K1" s="135" t="s">
        <v>132</v>
      </c>
    </row>
    <row r="2" spans="1:11" x14ac:dyDescent="0.35">
      <c r="A2" s="288">
        <v>9301</v>
      </c>
      <c r="B2" s="289" t="s">
        <v>388</v>
      </c>
      <c r="C2" s="290" t="s">
        <v>389</v>
      </c>
      <c r="D2" s="291" t="s">
        <v>390</v>
      </c>
      <c r="E2" s="291" t="s">
        <v>142</v>
      </c>
      <c r="F2" s="291" t="s">
        <v>391</v>
      </c>
      <c r="G2" s="291" t="s">
        <v>142</v>
      </c>
      <c r="H2" s="289">
        <v>5402222222</v>
      </c>
      <c r="I2" s="290" t="s">
        <v>392</v>
      </c>
      <c r="J2" s="288" t="s">
        <v>103</v>
      </c>
      <c r="K2" s="288">
        <v>3</v>
      </c>
    </row>
    <row r="3" spans="1:11" s="79" customFormat="1" x14ac:dyDescent="0.35">
      <c r="A3" s="288">
        <v>9300</v>
      </c>
      <c r="B3" s="289" t="s">
        <v>393</v>
      </c>
      <c r="C3" s="290" t="s">
        <v>394</v>
      </c>
      <c r="D3" s="292" t="str">
        <f t="shared" ref="D3:F4" si="0">D2</f>
        <v>Admin1</v>
      </c>
      <c r="E3" s="292" t="str">
        <f>E2</f>
        <v>M</v>
      </c>
      <c r="F3" s="292" t="str">
        <f t="shared" si="0"/>
        <v>Admin2</v>
      </c>
      <c r="G3" s="292" t="str">
        <f>G2</f>
        <v>M</v>
      </c>
      <c r="H3" s="293">
        <v>2334444444</v>
      </c>
      <c r="I3" s="290" t="s">
        <v>395</v>
      </c>
      <c r="J3" s="132" t="s">
        <v>402</v>
      </c>
      <c r="K3" s="289">
        <v>4</v>
      </c>
    </row>
    <row r="4" spans="1:11" x14ac:dyDescent="0.35">
      <c r="A4" s="132">
        <v>9410</v>
      </c>
      <c r="B4" s="289" t="s">
        <v>396</v>
      </c>
      <c r="C4" s="136" t="s">
        <v>397</v>
      </c>
      <c r="D4" s="292" t="str">
        <f t="shared" si="0"/>
        <v>Admin1</v>
      </c>
      <c r="E4" s="118" t="s">
        <v>142</v>
      </c>
      <c r="F4" s="292" t="str">
        <f t="shared" si="0"/>
        <v>Admin2</v>
      </c>
      <c r="G4" s="118" t="s">
        <v>142</v>
      </c>
      <c r="H4" s="132">
        <v>5761003457</v>
      </c>
      <c r="I4" s="136" t="s">
        <v>398</v>
      </c>
      <c r="J4" s="132" t="s">
        <v>403</v>
      </c>
      <c r="K4" s="132">
        <v>4</v>
      </c>
    </row>
    <row r="5" spans="1:11" x14ac:dyDescent="0.35">
      <c r="A5" s="132">
        <v>9421</v>
      </c>
      <c r="B5" s="132" t="s">
        <v>399</v>
      </c>
      <c r="C5" s="136" t="s">
        <v>400</v>
      </c>
      <c r="D5" s="118" t="s">
        <v>390</v>
      </c>
      <c r="E5" s="118" t="s">
        <v>142</v>
      </c>
      <c r="F5" s="118" t="s">
        <v>391</v>
      </c>
      <c r="G5" s="118" t="s">
        <v>142</v>
      </c>
      <c r="H5" s="132">
        <v>5560045668</v>
      </c>
      <c r="I5" s="136" t="s">
        <v>401</v>
      </c>
      <c r="J5" s="132" t="s">
        <v>404</v>
      </c>
      <c r="K5" s="132">
        <v>3</v>
      </c>
    </row>
  </sheetData>
  <sheetProtection sheet="1" objects="1" scenarios="1"/>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5"/>
  <dimension ref="A1:C31"/>
  <sheetViews>
    <sheetView topLeftCell="A22" workbookViewId="0">
      <selection activeCell="G25" sqref="G25"/>
    </sheetView>
  </sheetViews>
  <sheetFormatPr baseColWidth="10" defaultRowHeight="14.5" x14ac:dyDescent="0.35"/>
  <cols>
    <col min="1" max="1" width="29.54296875" customWidth="1"/>
    <col min="2" max="2" width="58" customWidth="1"/>
    <col min="3" max="3" width="26.26953125" customWidth="1"/>
  </cols>
  <sheetData>
    <row r="1" spans="1:3" ht="15" thickBot="1" x14ac:dyDescent="0.4">
      <c r="A1" s="80" t="s">
        <v>111</v>
      </c>
      <c r="B1" s="80" t="s">
        <v>112</v>
      </c>
      <c r="C1" s="80" t="s">
        <v>113</v>
      </c>
    </row>
    <row r="2" spans="1:3" x14ac:dyDescent="0.35">
      <c r="A2" s="82" t="s">
        <v>107</v>
      </c>
      <c r="B2" s="83" t="s">
        <v>92</v>
      </c>
      <c r="C2" s="84" t="s">
        <v>91</v>
      </c>
    </row>
    <row r="3" spans="1:3" x14ac:dyDescent="0.35">
      <c r="A3" s="85" t="s">
        <v>138</v>
      </c>
      <c r="B3" s="120" t="s">
        <v>145</v>
      </c>
      <c r="C3" s="121"/>
    </row>
    <row r="4" spans="1:3" x14ac:dyDescent="0.35">
      <c r="A4" s="85" t="s">
        <v>146</v>
      </c>
      <c r="B4" s="86" t="s">
        <v>93</v>
      </c>
      <c r="C4" s="87"/>
    </row>
    <row r="5" spans="1:3" x14ac:dyDescent="0.35">
      <c r="A5" s="85" t="s">
        <v>108</v>
      </c>
      <c r="B5" s="86" t="s">
        <v>94</v>
      </c>
      <c r="C5" s="87"/>
    </row>
    <row r="6" spans="1:3" ht="15" thickBot="1" x14ac:dyDescent="0.4">
      <c r="A6" s="89" t="s">
        <v>109</v>
      </c>
      <c r="B6" s="90" t="s">
        <v>95</v>
      </c>
      <c r="C6" s="91"/>
    </row>
    <row r="7" spans="1:3" ht="69.5" thickBot="1" x14ac:dyDescent="0.4">
      <c r="A7" s="93" t="s">
        <v>110</v>
      </c>
      <c r="B7" s="94" t="s">
        <v>405</v>
      </c>
      <c r="C7" s="115" t="s">
        <v>96</v>
      </c>
    </row>
    <row r="8" spans="1:3" ht="69.5" thickBot="1" x14ac:dyDescent="0.4">
      <c r="A8" s="18" t="s">
        <v>114</v>
      </c>
      <c r="B8" s="95" t="s">
        <v>143</v>
      </c>
      <c r="C8" s="96" t="s">
        <v>92</v>
      </c>
    </row>
    <row r="9" spans="1:3" ht="47" x14ac:dyDescent="0.35">
      <c r="A9" s="82" t="s">
        <v>115</v>
      </c>
      <c r="B9" s="97" t="s">
        <v>406</v>
      </c>
      <c r="C9" s="92" t="s">
        <v>98</v>
      </c>
    </row>
    <row r="10" spans="1:3" x14ac:dyDescent="0.35">
      <c r="A10" s="85" t="s">
        <v>120</v>
      </c>
      <c r="B10" s="98" t="s">
        <v>407</v>
      </c>
      <c r="C10" s="88"/>
    </row>
    <row r="11" spans="1:3" ht="35.5" x14ac:dyDescent="0.35">
      <c r="A11" s="85" t="s">
        <v>328</v>
      </c>
      <c r="B11" s="99" t="s">
        <v>408</v>
      </c>
      <c r="C11" s="88"/>
    </row>
    <row r="12" spans="1:3" ht="36" thickBot="1" x14ac:dyDescent="0.4">
      <c r="A12" s="89" t="s">
        <v>123</v>
      </c>
      <c r="B12" s="100" t="s">
        <v>409</v>
      </c>
      <c r="C12" s="91"/>
    </row>
    <row r="13" spans="1:3" ht="36" thickBot="1" x14ac:dyDescent="0.4">
      <c r="A13" s="89" t="s">
        <v>226</v>
      </c>
      <c r="B13" s="129" t="s">
        <v>418</v>
      </c>
      <c r="C13" s="91"/>
    </row>
    <row r="14" spans="1:3" ht="35" thickBot="1" x14ac:dyDescent="0.4">
      <c r="A14" s="18" t="s">
        <v>116</v>
      </c>
      <c r="B14" s="130" t="s">
        <v>227</v>
      </c>
      <c r="C14" s="96" t="s">
        <v>99</v>
      </c>
    </row>
    <row r="15" spans="1:3" ht="36" thickBot="1" x14ac:dyDescent="0.4">
      <c r="A15" s="18" t="s">
        <v>117</v>
      </c>
      <c r="B15" s="131" t="s">
        <v>229</v>
      </c>
      <c r="C15" s="96" t="s">
        <v>100</v>
      </c>
    </row>
    <row r="16" spans="1:3" ht="36" thickBot="1" x14ac:dyDescent="0.4">
      <c r="A16" s="18" t="s">
        <v>228</v>
      </c>
      <c r="B16" s="131" t="s">
        <v>419</v>
      </c>
      <c r="C16" s="96"/>
    </row>
    <row r="17" spans="1:3" ht="69.5" thickBot="1" x14ac:dyDescent="0.4">
      <c r="A17" s="18" t="s">
        <v>118</v>
      </c>
      <c r="B17" s="101" t="s">
        <v>411</v>
      </c>
      <c r="C17" s="96" t="s">
        <v>33</v>
      </c>
    </row>
    <row r="18" spans="1:3" ht="15" thickBot="1" x14ac:dyDescent="0.4">
      <c r="A18" s="78" t="s">
        <v>119</v>
      </c>
      <c r="B18" s="21" t="s">
        <v>144</v>
      </c>
      <c r="C18" s="81" t="s">
        <v>101</v>
      </c>
    </row>
    <row r="19" spans="1:3" x14ac:dyDescent="0.35">
      <c r="A19" s="82" t="s">
        <v>134</v>
      </c>
      <c r="B19" s="112" t="s">
        <v>412</v>
      </c>
      <c r="C19" s="84" t="s">
        <v>32</v>
      </c>
    </row>
    <row r="20" spans="1:3" x14ac:dyDescent="0.35">
      <c r="A20" s="85" t="s">
        <v>135</v>
      </c>
      <c r="B20" s="113" t="s">
        <v>414</v>
      </c>
      <c r="C20" s="87"/>
    </row>
    <row r="21" spans="1:3" x14ac:dyDescent="0.35">
      <c r="A21" s="85" t="s">
        <v>136</v>
      </c>
      <c r="B21" s="113" t="s">
        <v>104</v>
      </c>
      <c r="C21" s="87"/>
    </row>
    <row r="22" spans="1:3" ht="15" thickBot="1" x14ac:dyDescent="0.4">
      <c r="A22" s="85" t="s">
        <v>137</v>
      </c>
      <c r="B22" s="114" t="s">
        <v>413</v>
      </c>
      <c r="C22" s="87"/>
    </row>
    <row r="23" spans="1:3" ht="35.5" x14ac:dyDescent="0.35">
      <c r="A23" s="102" t="s">
        <v>121</v>
      </c>
      <c r="B23" s="111" t="s">
        <v>415</v>
      </c>
      <c r="C23" s="103" t="s">
        <v>105</v>
      </c>
    </row>
    <row r="24" spans="1:3" x14ac:dyDescent="0.35">
      <c r="A24" s="104" t="s">
        <v>125</v>
      </c>
      <c r="B24" s="105" t="s">
        <v>124</v>
      </c>
      <c r="C24" s="106"/>
    </row>
    <row r="25" spans="1:3" ht="15" thickBot="1" x14ac:dyDescent="0.4">
      <c r="A25" s="104" t="s">
        <v>127</v>
      </c>
      <c r="B25" s="105" t="s">
        <v>416</v>
      </c>
      <c r="C25" s="106"/>
    </row>
    <row r="26" spans="1:3" ht="25" x14ac:dyDescent="0.35">
      <c r="A26" s="102" t="s">
        <v>122</v>
      </c>
      <c r="B26" s="127" t="s">
        <v>420</v>
      </c>
      <c r="C26" s="103" t="s">
        <v>106</v>
      </c>
    </row>
    <row r="27" spans="1:3" ht="25.5" x14ac:dyDescent="0.35">
      <c r="A27" s="104" t="s">
        <v>126</v>
      </c>
      <c r="B27" s="128" t="s">
        <v>421</v>
      </c>
      <c r="C27" s="106"/>
    </row>
    <row r="28" spans="1:3" ht="39" thickBot="1" x14ac:dyDescent="0.4">
      <c r="A28" s="104" t="s">
        <v>128</v>
      </c>
      <c r="B28" s="105" t="s">
        <v>422</v>
      </c>
      <c r="C28" s="107"/>
    </row>
    <row r="29" spans="1:3" x14ac:dyDescent="0.35">
      <c r="A29" s="82" t="s">
        <v>129</v>
      </c>
      <c r="B29" s="116" t="s">
        <v>97</v>
      </c>
      <c r="C29" s="109" t="s">
        <v>133</v>
      </c>
    </row>
    <row r="30" spans="1:3" ht="15" thickBot="1" x14ac:dyDescent="0.4">
      <c r="A30" s="89" t="s">
        <v>130</v>
      </c>
      <c r="B30" s="126" t="s">
        <v>225</v>
      </c>
      <c r="C30" s="108"/>
    </row>
    <row r="31" spans="1:3" ht="15" thickBot="1" x14ac:dyDescent="0.4">
      <c r="A31" s="117" t="s">
        <v>139</v>
      </c>
      <c r="B31" s="110" t="s">
        <v>417</v>
      </c>
      <c r="C31" s="108"/>
    </row>
  </sheetData>
  <sheetProtection formatCells="0" formatColumns="0" formatRows="0" sort="0" autoFilter="0"/>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
  <dimension ref="A1:Q63"/>
  <sheetViews>
    <sheetView topLeftCell="A37" workbookViewId="0">
      <selection activeCell="M72" sqref="M72"/>
    </sheetView>
  </sheetViews>
  <sheetFormatPr baseColWidth="10" defaultColWidth="11.453125" defaultRowHeight="14.5" x14ac:dyDescent="0.35"/>
  <cols>
    <col min="1" max="3" width="11.453125" style="164"/>
    <col min="4" max="4" width="21" style="164" customWidth="1"/>
    <col min="5" max="5" width="11.453125" style="164"/>
    <col min="6" max="6" width="14.7265625" style="164" customWidth="1"/>
    <col min="7" max="8" width="11.453125" style="164"/>
    <col min="9" max="9" width="10.81640625" style="164" customWidth="1"/>
    <col min="10" max="10" width="11.453125" style="164"/>
    <col min="11" max="11" width="10.7265625" style="164" bestFit="1" customWidth="1"/>
    <col min="12" max="12" width="17.1796875" style="164" customWidth="1"/>
    <col min="13" max="13" width="33.1796875" style="164" customWidth="1"/>
    <col min="14" max="14" width="31.54296875" style="164" customWidth="1"/>
    <col min="15" max="15" width="30.7265625" style="164" customWidth="1"/>
    <col min="16" max="16" width="25.453125" style="164" customWidth="1"/>
    <col min="17" max="17" width="20.453125" style="164" customWidth="1"/>
    <col min="18" max="19" width="11.453125" style="164"/>
    <col min="20" max="20" width="25.7265625" style="164" customWidth="1"/>
    <col min="21" max="16384" width="11.453125" style="164"/>
  </cols>
  <sheetData>
    <row r="1" spans="1:17" s="161" customFormat="1" x14ac:dyDescent="0.35">
      <c r="A1" s="161" t="s">
        <v>53</v>
      </c>
      <c r="B1" s="161" t="s">
        <v>54</v>
      </c>
      <c r="C1" s="161" t="s">
        <v>55</v>
      </c>
      <c r="D1" s="161" t="s">
        <v>56</v>
      </c>
      <c r="E1" s="161" t="s">
        <v>57</v>
      </c>
      <c r="F1" s="161" t="s">
        <v>58</v>
      </c>
      <c r="G1" s="161" t="s">
        <v>59</v>
      </c>
      <c r="H1" s="161" t="s">
        <v>60</v>
      </c>
      <c r="I1" s="161" t="s">
        <v>61</v>
      </c>
      <c r="J1" s="161" t="s">
        <v>62</v>
      </c>
      <c r="K1" s="161" t="s">
        <v>235</v>
      </c>
      <c r="L1" s="161" t="s">
        <v>236</v>
      </c>
      <c r="M1" s="161" t="s">
        <v>237</v>
      </c>
      <c r="N1" s="161" t="s">
        <v>238</v>
      </c>
      <c r="O1" s="161" t="s">
        <v>239</v>
      </c>
      <c r="P1" s="161" t="s">
        <v>240</v>
      </c>
    </row>
    <row r="2" spans="1:17" s="162" customFormat="1" x14ac:dyDescent="0.35">
      <c r="A2" s="162">
        <v>25301</v>
      </c>
      <c r="B2" s="162">
        <v>9301</v>
      </c>
      <c r="C2" s="162" t="s">
        <v>147</v>
      </c>
      <c r="E2" s="162" t="s">
        <v>36</v>
      </c>
      <c r="F2" s="162">
        <v>71090714979</v>
      </c>
      <c r="G2" s="162" t="s">
        <v>148</v>
      </c>
      <c r="H2" s="163">
        <v>43313</v>
      </c>
      <c r="I2" s="162" t="s">
        <v>80</v>
      </c>
      <c r="J2" s="162">
        <v>1200</v>
      </c>
      <c r="K2" s="162">
        <v>2387</v>
      </c>
      <c r="L2" s="162">
        <v>1513406</v>
      </c>
      <c r="M2" s="162" t="s">
        <v>241</v>
      </c>
      <c r="N2" s="162" t="s">
        <v>242</v>
      </c>
      <c r="O2" s="162" t="s">
        <v>243</v>
      </c>
      <c r="P2" s="162" t="s">
        <v>244</v>
      </c>
      <c r="Q2" s="163"/>
    </row>
    <row r="3" spans="1:17" x14ac:dyDescent="0.35">
      <c r="A3" s="164">
        <v>25279</v>
      </c>
      <c r="B3" s="164">
        <v>9301</v>
      </c>
      <c r="C3" s="164" t="s">
        <v>149</v>
      </c>
      <c r="E3" s="164" t="s">
        <v>36</v>
      </c>
      <c r="F3" s="164">
        <v>62112113769</v>
      </c>
      <c r="G3" s="164" t="s">
        <v>42</v>
      </c>
      <c r="H3" s="49">
        <v>43160</v>
      </c>
      <c r="I3" s="164" t="s">
        <v>80</v>
      </c>
      <c r="J3" s="164">
        <v>950</v>
      </c>
      <c r="K3" s="164">
        <v>0</v>
      </c>
      <c r="L3" s="164">
        <v>0</v>
      </c>
      <c r="O3" s="164" t="s">
        <v>245</v>
      </c>
      <c r="Q3" s="49"/>
    </row>
    <row r="4" spans="1:17" x14ac:dyDescent="0.35">
      <c r="A4" s="164">
        <v>23763</v>
      </c>
      <c r="B4" s="164">
        <v>9301</v>
      </c>
      <c r="C4" s="164" t="s">
        <v>150</v>
      </c>
      <c r="E4" s="164" t="s">
        <v>36</v>
      </c>
      <c r="F4" s="164">
        <v>71012900407</v>
      </c>
      <c r="G4" s="164" t="s">
        <v>41</v>
      </c>
      <c r="H4" s="49">
        <v>42720</v>
      </c>
      <c r="I4" s="164" t="s">
        <v>80</v>
      </c>
      <c r="J4" s="164">
        <v>1200</v>
      </c>
      <c r="K4" s="164">
        <v>2402</v>
      </c>
      <c r="L4" s="164">
        <v>1522826</v>
      </c>
      <c r="M4" s="164" t="s">
        <v>246</v>
      </c>
      <c r="N4" s="164" t="s">
        <v>247</v>
      </c>
      <c r="O4" s="164" t="s">
        <v>243</v>
      </c>
      <c r="P4" s="164" t="s">
        <v>244</v>
      </c>
      <c r="Q4" s="49"/>
    </row>
    <row r="5" spans="1:17" x14ac:dyDescent="0.35">
      <c r="A5" s="164">
        <v>26821</v>
      </c>
      <c r="B5" s="164">
        <v>9301</v>
      </c>
      <c r="C5" s="164" t="s">
        <v>151</v>
      </c>
      <c r="E5" s="164" t="s">
        <v>64</v>
      </c>
      <c r="F5" s="164">
        <v>62072705575</v>
      </c>
      <c r="G5" s="164" t="s">
        <v>82</v>
      </c>
      <c r="H5" s="49">
        <v>25569</v>
      </c>
      <c r="I5" s="164" t="s">
        <v>80</v>
      </c>
      <c r="J5" s="164">
        <v>1200</v>
      </c>
      <c r="K5" s="164">
        <v>0</v>
      </c>
      <c r="L5" s="164">
        <v>0</v>
      </c>
      <c r="O5" s="164" t="s">
        <v>245</v>
      </c>
      <c r="Q5" s="49"/>
    </row>
    <row r="6" spans="1:17" x14ac:dyDescent="0.35">
      <c r="A6" s="164">
        <v>24397</v>
      </c>
      <c r="B6" s="164">
        <v>9301</v>
      </c>
      <c r="C6" s="164" t="s">
        <v>152</v>
      </c>
      <c r="E6" s="164" t="s">
        <v>36</v>
      </c>
      <c r="F6" s="164">
        <v>59032308312</v>
      </c>
      <c r="G6" s="164" t="s">
        <v>39</v>
      </c>
      <c r="H6" s="49">
        <v>42887</v>
      </c>
      <c r="I6" s="164" t="s">
        <v>80</v>
      </c>
      <c r="J6" s="164">
        <v>1200</v>
      </c>
      <c r="K6" s="164">
        <v>2407</v>
      </c>
      <c r="L6" s="164">
        <v>1525966</v>
      </c>
      <c r="M6" s="164" t="s">
        <v>248</v>
      </c>
      <c r="N6" s="164" t="s">
        <v>249</v>
      </c>
      <c r="O6" s="164" t="s">
        <v>243</v>
      </c>
      <c r="P6" s="164" t="s">
        <v>244</v>
      </c>
      <c r="Q6" s="49"/>
    </row>
    <row r="7" spans="1:17" x14ac:dyDescent="0.35">
      <c r="A7" s="164">
        <v>15247</v>
      </c>
      <c r="B7" s="164">
        <v>9301</v>
      </c>
      <c r="C7" s="164" t="s">
        <v>153</v>
      </c>
      <c r="E7" s="164" t="s">
        <v>36</v>
      </c>
      <c r="F7" s="164">
        <v>76062109014</v>
      </c>
      <c r="G7" s="164" t="s">
        <v>37</v>
      </c>
      <c r="H7" s="49">
        <v>43132</v>
      </c>
      <c r="I7" s="164" t="s">
        <v>80</v>
      </c>
      <c r="J7" s="164">
        <v>500</v>
      </c>
      <c r="K7" s="164">
        <v>691.67</v>
      </c>
      <c r="L7" s="164">
        <v>437118.86</v>
      </c>
      <c r="M7" s="164" t="s">
        <v>250</v>
      </c>
      <c r="N7" s="164" t="s">
        <v>251</v>
      </c>
      <c r="O7" s="164" t="s">
        <v>243</v>
      </c>
      <c r="P7" s="164" t="s">
        <v>244</v>
      </c>
      <c r="Q7" s="49"/>
    </row>
    <row r="8" spans="1:17" x14ac:dyDescent="0.35">
      <c r="A8" s="164">
        <v>23161</v>
      </c>
      <c r="B8" s="164">
        <v>9301</v>
      </c>
      <c r="C8" s="164" t="s">
        <v>154</v>
      </c>
      <c r="E8" s="164" t="s">
        <v>36</v>
      </c>
      <c r="F8" s="164">
        <v>65073104096</v>
      </c>
      <c r="G8" s="164" t="s">
        <v>39</v>
      </c>
      <c r="H8" s="49">
        <v>42583</v>
      </c>
      <c r="I8" s="164" t="s">
        <v>80</v>
      </c>
      <c r="J8" s="164">
        <v>1200</v>
      </c>
      <c r="K8" s="164">
        <v>2500</v>
      </c>
      <c r="L8" s="164">
        <v>1585000</v>
      </c>
      <c r="M8" s="164" t="s">
        <v>252</v>
      </c>
      <c r="N8" s="164" t="s">
        <v>253</v>
      </c>
      <c r="O8" s="164" t="s">
        <v>243</v>
      </c>
      <c r="P8" s="164" t="s">
        <v>244</v>
      </c>
      <c r="Q8" s="49"/>
    </row>
    <row r="9" spans="1:17" s="165" customFormat="1" x14ac:dyDescent="0.35">
      <c r="A9" s="165">
        <v>23654</v>
      </c>
      <c r="B9" s="165">
        <v>9301</v>
      </c>
      <c r="C9" s="165" t="s">
        <v>155</v>
      </c>
      <c r="E9" s="165" t="s">
        <v>36</v>
      </c>
      <c r="F9" s="165">
        <v>77041701931</v>
      </c>
      <c r="G9" s="165" t="s">
        <v>84</v>
      </c>
      <c r="H9" s="166">
        <v>42720</v>
      </c>
      <c r="I9" s="165" t="s">
        <v>80</v>
      </c>
      <c r="J9" s="165">
        <v>950</v>
      </c>
      <c r="K9" s="165">
        <v>1673.17</v>
      </c>
      <c r="L9" s="165">
        <v>1060865.8600000001</v>
      </c>
      <c r="M9" s="165" t="s">
        <v>254</v>
      </c>
      <c r="N9" s="165" t="s">
        <v>255</v>
      </c>
      <c r="O9" s="165" t="s">
        <v>243</v>
      </c>
      <c r="P9" s="165" t="s">
        <v>244</v>
      </c>
      <c r="Q9" s="166"/>
    </row>
    <row r="10" spans="1:17" x14ac:dyDescent="0.35">
      <c r="A10" s="164">
        <v>25375</v>
      </c>
      <c r="B10" s="164">
        <v>9301</v>
      </c>
      <c r="C10" s="164" t="s">
        <v>156</v>
      </c>
      <c r="E10" s="164" t="s">
        <v>36</v>
      </c>
      <c r="F10" s="164">
        <v>83111126120</v>
      </c>
      <c r="G10" s="164" t="s">
        <v>157</v>
      </c>
      <c r="H10" s="49">
        <v>43522</v>
      </c>
      <c r="I10" s="164" t="s">
        <v>80</v>
      </c>
      <c r="J10" s="164">
        <v>1200</v>
      </c>
      <c r="K10" s="164">
        <v>2389</v>
      </c>
      <c r="L10" s="164">
        <v>1515292</v>
      </c>
      <c r="M10" s="164" t="s">
        <v>256</v>
      </c>
      <c r="N10" s="164" t="s">
        <v>257</v>
      </c>
      <c r="O10" s="164" t="s">
        <v>243</v>
      </c>
      <c r="P10" s="164" t="s">
        <v>244</v>
      </c>
      <c r="Q10" s="49"/>
    </row>
    <row r="11" spans="1:17" x14ac:dyDescent="0.35">
      <c r="A11" s="164">
        <v>25325</v>
      </c>
      <c r="B11" s="164">
        <v>9301</v>
      </c>
      <c r="C11" s="164" t="s">
        <v>158</v>
      </c>
      <c r="E11" s="164" t="s">
        <v>36</v>
      </c>
      <c r="F11" s="164">
        <v>77122815968</v>
      </c>
      <c r="G11" s="164" t="s">
        <v>68</v>
      </c>
      <c r="H11" s="49">
        <v>43252</v>
      </c>
      <c r="I11" s="164" t="s">
        <v>38</v>
      </c>
      <c r="J11" s="164">
        <v>1200</v>
      </c>
      <c r="K11" s="164">
        <v>2301</v>
      </c>
      <c r="L11" s="164">
        <v>1459398</v>
      </c>
      <c r="M11" s="164" t="s">
        <v>258</v>
      </c>
      <c r="N11" s="164" t="s">
        <v>259</v>
      </c>
      <c r="O11" s="164" t="s">
        <v>243</v>
      </c>
      <c r="P11" s="164" t="s">
        <v>244</v>
      </c>
      <c r="Q11" s="49"/>
    </row>
    <row r="12" spans="1:17" x14ac:dyDescent="0.35">
      <c r="A12" s="164">
        <v>25167</v>
      </c>
      <c r="B12" s="164">
        <v>9421</v>
      </c>
      <c r="C12" s="164" t="s">
        <v>159</v>
      </c>
      <c r="E12" s="164" t="s">
        <v>36</v>
      </c>
      <c r="F12" s="164">
        <v>63121716963</v>
      </c>
      <c r="G12" s="164" t="s">
        <v>81</v>
      </c>
      <c r="H12" s="49">
        <v>43258</v>
      </c>
      <c r="I12" s="164" t="s">
        <v>48</v>
      </c>
      <c r="J12" s="164">
        <v>612</v>
      </c>
      <c r="K12" s="164">
        <v>181.5</v>
      </c>
      <c r="L12" s="164">
        <v>119427</v>
      </c>
      <c r="M12" s="164">
        <v>181.5</v>
      </c>
      <c r="N12" s="164">
        <v>119427</v>
      </c>
      <c r="O12" s="164" t="s">
        <v>303</v>
      </c>
      <c r="P12" s="164">
        <v>658</v>
      </c>
      <c r="Q12" s="49"/>
    </row>
    <row r="13" spans="1:17" x14ac:dyDescent="0.35">
      <c r="A13" s="164">
        <v>26191</v>
      </c>
      <c r="B13" s="164">
        <v>9301</v>
      </c>
      <c r="C13" s="164" t="s">
        <v>160</v>
      </c>
      <c r="E13" s="164" t="s">
        <v>36</v>
      </c>
      <c r="F13" s="164">
        <v>71091205282</v>
      </c>
      <c r="G13" s="164" t="s">
        <v>37</v>
      </c>
      <c r="H13" s="49">
        <v>43641</v>
      </c>
      <c r="I13" s="164" t="s">
        <v>80</v>
      </c>
      <c r="J13" s="164">
        <v>950</v>
      </c>
      <c r="K13" s="164">
        <v>1673.17</v>
      </c>
      <c r="L13" s="164">
        <v>1060865.8600000001</v>
      </c>
      <c r="M13" s="164" t="s">
        <v>254</v>
      </c>
      <c r="N13" s="164" t="s">
        <v>255</v>
      </c>
      <c r="O13" s="164" t="s">
        <v>243</v>
      </c>
      <c r="P13" s="164" t="s">
        <v>244</v>
      </c>
      <c r="Q13" s="49"/>
    </row>
    <row r="14" spans="1:17" x14ac:dyDescent="0.35">
      <c r="A14" s="164">
        <v>22294</v>
      </c>
      <c r="B14" s="164">
        <v>9301</v>
      </c>
      <c r="C14" s="164" t="s">
        <v>65</v>
      </c>
      <c r="E14" s="164" t="s">
        <v>36</v>
      </c>
      <c r="F14" s="164">
        <v>64080109008</v>
      </c>
      <c r="G14" s="164" t="s">
        <v>41</v>
      </c>
      <c r="H14" s="49">
        <v>42430</v>
      </c>
      <c r="I14" s="164" t="s">
        <v>38</v>
      </c>
      <c r="J14" s="164">
        <v>1200</v>
      </c>
      <c r="K14" s="164">
        <v>1244</v>
      </c>
      <c r="L14" s="164">
        <v>781232</v>
      </c>
      <c r="M14" s="164" t="s">
        <v>260</v>
      </c>
      <c r="N14" s="164" t="s">
        <v>261</v>
      </c>
      <c r="O14" s="164" t="s">
        <v>262</v>
      </c>
      <c r="P14" s="164" t="s">
        <v>263</v>
      </c>
      <c r="Q14" s="49"/>
    </row>
    <row r="15" spans="1:17" x14ac:dyDescent="0.35">
      <c r="A15" s="164">
        <v>24689</v>
      </c>
      <c r="B15" s="164">
        <v>9301</v>
      </c>
      <c r="C15" s="164" t="s">
        <v>161</v>
      </c>
      <c r="E15" s="164" t="s">
        <v>36</v>
      </c>
      <c r="F15" s="164">
        <v>84121827727</v>
      </c>
      <c r="G15" s="164" t="s">
        <v>82</v>
      </c>
      <c r="H15" s="49">
        <v>43551</v>
      </c>
      <c r="I15" s="164" t="s">
        <v>38</v>
      </c>
      <c r="J15" s="164">
        <v>1200</v>
      </c>
      <c r="K15" s="164">
        <v>1390</v>
      </c>
      <c r="L15" s="164">
        <v>887290</v>
      </c>
      <c r="M15" s="164" t="s">
        <v>264</v>
      </c>
      <c r="N15" s="164" t="s">
        <v>265</v>
      </c>
      <c r="O15" s="164" t="s">
        <v>266</v>
      </c>
      <c r="P15" s="164" t="s">
        <v>267</v>
      </c>
      <c r="Q15" s="49"/>
    </row>
    <row r="16" spans="1:17" x14ac:dyDescent="0.35">
      <c r="A16" s="164">
        <v>17739</v>
      </c>
      <c r="B16" s="164">
        <v>9301</v>
      </c>
      <c r="C16" s="164" t="s">
        <v>162</v>
      </c>
      <c r="E16" s="164" t="s">
        <v>36</v>
      </c>
      <c r="F16" s="164">
        <v>66040627739</v>
      </c>
      <c r="G16" s="164" t="s">
        <v>41</v>
      </c>
      <c r="H16" s="49">
        <v>42685</v>
      </c>
      <c r="I16" s="164" t="s">
        <v>38</v>
      </c>
      <c r="J16" s="164">
        <v>1200</v>
      </c>
      <c r="K16" s="164">
        <v>0</v>
      </c>
      <c r="L16" s="164">
        <v>0</v>
      </c>
      <c r="O16" s="164" t="s">
        <v>245</v>
      </c>
      <c r="Q16" s="49"/>
    </row>
    <row r="17" spans="1:17" x14ac:dyDescent="0.35">
      <c r="A17" s="164">
        <v>25380</v>
      </c>
      <c r="B17" s="164">
        <v>9301</v>
      </c>
      <c r="C17" s="164" t="s">
        <v>163</v>
      </c>
      <c r="E17" s="164" t="s">
        <v>36</v>
      </c>
      <c r="F17" s="164">
        <v>66120227099</v>
      </c>
      <c r="G17" s="164" t="s">
        <v>42</v>
      </c>
      <c r="H17" s="49">
        <v>43252</v>
      </c>
      <c r="I17" s="164" t="s">
        <v>80</v>
      </c>
      <c r="J17" s="164">
        <v>950</v>
      </c>
      <c r="K17" s="164">
        <v>1394</v>
      </c>
      <c r="L17" s="164">
        <v>875432</v>
      </c>
      <c r="M17" s="164" t="s">
        <v>268</v>
      </c>
      <c r="N17" s="164" t="s">
        <v>269</v>
      </c>
      <c r="O17" s="164" t="s">
        <v>262</v>
      </c>
      <c r="P17" s="164" t="s">
        <v>263</v>
      </c>
      <c r="Q17" s="49"/>
    </row>
    <row r="18" spans="1:17" x14ac:dyDescent="0.35">
      <c r="A18" s="164">
        <v>23528</v>
      </c>
      <c r="B18" s="164">
        <v>9301</v>
      </c>
      <c r="C18" s="164" t="s">
        <v>164</v>
      </c>
      <c r="E18" s="164" t="s">
        <v>36</v>
      </c>
      <c r="F18" s="164">
        <v>63120716944</v>
      </c>
      <c r="G18" s="164" t="s">
        <v>69</v>
      </c>
      <c r="H18" s="49">
        <v>42614</v>
      </c>
      <c r="I18" s="164" t="s">
        <v>38</v>
      </c>
      <c r="J18" s="164">
        <v>1200</v>
      </c>
      <c r="K18" s="164">
        <v>2407</v>
      </c>
      <c r="L18" s="164">
        <v>1525966</v>
      </c>
      <c r="M18" s="164" t="s">
        <v>248</v>
      </c>
      <c r="N18" s="164" t="s">
        <v>249</v>
      </c>
      <c r="O18" s="164" t="s">
        <v>243</v>
      </c>
      <c r="P18" s="164" t="s">
        <v>244</v>
      </c>
      <c r="Q18" s="49"/>
    </row>
    <row r="19" spans="1:17" x14ac:dyDescent="0.35">
      <c r="A19" s="164">
        <v>25262</v>
      </c>
      <c r="B19" s="164">
        <v>9301</v>
      </c>
      <c r="C19" s="164" t="s">
        <v>165</v>
      </c>
      <c r="E19" s="164" t="s">
        <v>36</v>
      </c>
      <c r="F19" s="164">
        <v>80120303237</v>
      </c>
      <c r="G19" s="164" t="s">
        <v>72</v>
      </c>
      <c r="H19" s="49">
        <v>43191</v>
      </c>
      <c r="I19" s="164" t="s">
        <v>80</v>
      </c>
      <c r="J19" s="164">
        <v>1200</v>
      </c>
      <c r="K19" s="164">
        <v>2500</v>
      </c>
      <c r="L19" s="164">
        <v>1585000</v>
      </c>
      <c r="M19" s="164" t="s">
        <v>252</v>
      </c>
      <c r="N19" s="164" t="s">
        <v>253</v>
      </c>
      <c r="O19" s="164" t="s">
        <v>243</v>
      </c>
      <c r="P19" s="164" t="s">
        <v>244</v>
      </c>
      <c r="Q19" s="49"/>
    </row>
    <row r="20" spans="1:17" x14ac:dyDescent="0.35">
      <c r="A20" s="164">
        <v>25535</v>
      </c>
      <c r="B20" s="164">
        <v>9301</v>
      </c>
      <c r="C20" s="164" t="s">
        <v>166</v>
      </c>
      <c r="E20" s="164" t="s">
        <v>36</v>
      </c>
      <c r="F20" s="164">
        <v>62090609329</v>
      </c>
      <c r="G20" s="164" t="s">
        <v>42</v>
      </c>
      <c r="H20" s="49">
        <v>43405</v>
      </c>
      <c r="I20" s="164" t="s">
        <v>80</v>
      </c>
      <c r="J20" s="164">
        <v>778</v>
      </c>
      <c r="K20" s="164">
        <v>1303.83</v>
      </c>
      <c r="L20" s="164">
        <v>826420.14</v>
      </c>
      <c r="M20" s="164" t="s">
        <v>270</v>
      </c>
      <c r="N20" s="164" t="s">
        <v>271</v>
      </c>
      <c r="O20" s="164" t="s">
        <v>243</v>
      </c>
      <c r="P20" s="164" t="s">
        <v>244</v>
      </c>
      <c r="Q20" s="49"/>
    </row>
    <row r="21" spans="1:17" x14ac:dyDescent="0.35">
      <c r="A21" s="164">
        <v>25313</v>
      </c>
      <c r="B21" s="164">
        <v>9301</v>
      </c>
      <c r="C21" s="164" t="s">
        <v>167</v>
      </c>
      <c r="E21" s="164" t="s">
        <v>36</v>
      </c>
      <c r="F21" s="164">
        <v>66022406428</v>
      </c>
      <c r="G21" s="164" t="s">
        <v>41</v>
      </c>
      <c r="H21" s="49">
        <v>43252</v>
      </c>
      <c r="I21" s="164" t="s">
        <v>38</v>
      </c>
      <c r="J21" s="164">
        <v>1200</v>
      </c>
      <c r="K21" s="164">
        <v>1822</v>
      </c>
      <c r="L21" s="164">
        <v>1144216</v>
      </c>
      <c r="M21" s="164" t="s">
        <v>272</v>
      </c>
      <c r="N21" s="164" t="s">
        <v>273</v>
      </c>
      <c r="O21" s="164" t="s">
        <v>262</v>
      </c>
      <c r="P21" s="164" t="s">
        <v>263</v>
      </c>
      <c r="Q21" s="49"/>
    </row>
    <row r="22" spans="1:17" x14ac:dyDescent="0.35">
      <c r="A22" s="164">
        <v>24838</v>
      </c>
      <c r="B22" s="164">
        <v>9301</v>
      </c>
      <c r="C22" s="164" t="s">
        <v>168</v>
      </c>
      <c r="E22" s="164" t="s">
        <v>36</v>
      </c>
      <c r="F22" s="164">
        <v>75092818791</v>
      </c>
      <c r="G22" s="164" t="s">
        <v>66</v>
      </c>
      <c r="H22" s="49">
        <v>43551</v>
      </c>
      <c r="I22" s="164" t="s">
        <v>80</v>
      </c>
      <c r="J22" s="164">
        <v>1200</v>
      </c>
      <c r="K22" s="164">
        <v>2301</v>
      </c>
      <c r="L22" s="164">
        <v>1459398</v>
      </c>
      <c r="M22" s="164" t="s">
        <v>258</v>
      </c>
      <c r="N22" s="164" t="s">
        <v>259</v>
      </c>
      <c r="O22" s="164" t="s">
        <v>243</v>
      </c>
      <c r="P22" s="164" t="s">
        <v>244</v>
      </c>
      <c r="Q22" s="49"/>
    </row>
    <row r="23" spans="1:17" x14ac:dyDescent="0.35">
      <c r="A23" s="164">
        <v>24311</v>
      </c>
      <c r="B23" s="164">
        <v>9301</v>
      </c>
      <c r="C23" s="164" t="s">
        <v>67</v>
      </c>
      <c r="E23" s="164" t="s">
        <v>36</v>
      </c>
      <c r="F23" s="164">
        <v>63022707924</v>
      </c>
      <c r="G23" s="164" t="s">
        <v>68</v>
      </c>
      <c r="H23" s="49">
        <v>42948</v>
      </c>
      <c r="I23" s="164" t="s">
        <v>38</v>
      </c>
      <c r="J23" s="164">
        <v>1200</v>
      </c>
      <c r="K23" s="164">
        <v>1297</v>
      </c>
      <c r="L23" s="164">
        <v>814516</v>
      </c>
      <c r="M23" s="164" t="s">
        <v>274</v>
      </c>
      <c r="N23" s="164" t="s">
        <v>275</v>
      </c>
      <c r="O23" s="164" t="s">
        <v>262</v>
      </c>
      <c r="P23" s="164" t="s">
        <v>263</v>
      </c>
      <c r="Q23" s="49"/>
    </row>
    <row r="24" spans="1:17" x14ac:dyDescent="0.35">
      <c r="A24" s="164">
        <v>24781</v>
      </c>
      <c r="B24" s="164">
        <v>9301</v>
      </c>
      <c r="C24" s="164" t="s">
        <v>169</v>
      </c>
      <c r="E24" s="164" t="s">
        <v>36</v>
      </c>
      <c r="F24" s="164">
        <v>66112212153</v>
      </c>
      <c r="G24" s="164" t="s">
        <v>39</v>
      </c>
      <c r="H24" s="49">
        <v>43221</v>
      </c>
      <c r="I24" s="164" t="s">
        <v>80</v>
      </c>
      <c r="J24" s="164">
        <v>1200</v>
      </c>
      <c r="K24" s="164">
        <v>2500</v>
      </c>
      <c r="L24" s="164">
        <v>1585000</v>
      </c>
      <c r="M24" s="164" t="s">
        <v>252</v>
      </c>
      <c r="N24" s="164" t="s">
        <v>253</v>
      </c>
      <c r="O24" s="164" t="s">
        <v>243</v>
      </c>
      <c r="P24" s="164" t="s">
        <v>244</v>
      </c>
      <c r="Q24" s="49"/>
    </row>
    <row r="25" spans="1:17" x14ac:dyDescent="0.35">
      <c r="A25" s="164">
        <v>24673</v>
      </c>
      <c r="B25" s="164">
        <v>9301</v>
      </c>
      <c r="C25" s="164" t="s">
        <v>170</v>
      </c>
      <c r="E25" s="164" t="s">
        <v>36</v>
      </c>
      <c r="F25" s="164">
        <v>58110900661</v>
      </c>
      <c r="G25" s="164" t="s">
        <v>171</v>
      </c>
      <c r="H25" s="49">
        <v>43252</v>
      </c>
      <c r="I25" s="164" t="s">
        <v>80</v>
      </c>
      <c r="J25" s="164">
        <v>1200</v>
      </c>
      <c r="K25" s="164">
        <v>1894</v>
      </c>
      <c r="L25" s="164">
        <v>1189432</v>
      </c>
      <c r="M25" s="164" t="s">
        <v>276</v>
      </c>
      <c r="N25" s="164" t="s">
        <v>277</v>
      </c>
      <c r="O25" s="164" t="s">
        <v>262</v>
      </c>
      <c r="P25" s="164" t="s">
        <v>263</v>
      </c>
      <c r="Q25" s="49"/>
    </row>
    <row r="26" spans="1:17" x14ac:dyDescent="0.35">
      <c r="A26" s="164">
        <v>13483</v>
      </c>
      <c r="B26" s="164">
        <v>9301</v>
      </c>
      <c r="C26" s="164" t="s">
        <v>172</v>
      </c>
      <c r="E26" s="164" t="s">
        <v>64</v>
      </c>
      <c r="F26" s="164">
        <v>68031000067</v>
      </c>
      <c r="G26" s="164" t="s">
        <v>173</v>
      </c>
      <c r="H26" s="49">
        <v>43904</v>
      </c>
      <c r="I26" s="164" t="s">
        <v>43</v>
      </c>
      <c r="J26" s="164">
        <v>1200</v>
      </c>
      <c r="K26" s="164">
        <v>0</v>
      </c>
      <c r="L26" s="164">
        <v>0</v>
      </c>
      <c r="O26" s="164" t="s">
        <v>245</v>
      </c>
      <c r="Q26" s="49"/>
    </row>
    <row r="27" spans="1:17" x14ac:dyDescent="0.35">
      <c r="A27" s="164">
        <v>23478</v>
      </c>
      <c r="B27" s="164">
        <v>9301</v>
      </c>
      <c r="C27" s="164" t="s">
        <v>174</v>
      </c>
      <c r="E27" s="164" t="s">
        <v>36</v>
      </c>
      <c r="F27" s="164">
        <v>66082300763</v>
      </c>
      <c r="G27" s="164" t="s">
        <v>41</v>
      </c>
      <c r="H27" s="49">
        <v>42614</v>
      </c>
      <c r="I27" s="164" t="s">
        <v>80</v>
      </c>
      <c r="J27" s="164">
        <v>1200</v>
      </c>
      <c r="K27" s="164">
        <v>2279</v>
      </c>
      <c r="L27" s="164">
        <v>1445582</v>
      </c>
      <c r="M27" s="164" t="s">
        <v>278</v>
      </c>
      <c r="N27" s="164" t="s">
        <v>279</v>
      </c>
      <c r="O27" s="164" t="s">
        <v>243</v>
      </c>
      <c r="P27" s="164" t="s">
        <v>244</v>
      </c>
      <c r="Q27" s="49"/>
    </row>
    <row r="28" spans="1:17" x14ac:dyDescent="0.35">
      <c r="A28" s="164">
        <v>26652</v>
      </c>
      <c r="B28" s="164">
        <v>9301</v>
      </c>
      <c r="C28" s="164" t="s">
        <v>175</v>
      </c>
      <c r="E28" s="164" t="s">
        <v>176</v>
      </c>
      <c r="F28" s="164">
        <v>64092529206</v>
      </c>
      <c r="G28" s="164" t="s">
        <v>82</v>
      </c>
      <c r="H28" s="49">
        <v>25569</v>
      </c>
      <c r="I28" s="164" t="s">
        <v>80</v>
      </c>
      <c r="J28" s="164">
        <v>1200</v>
      </c>
      <c r="K28" s="164">
        <v>0</v>
      </c>
      <c r="L28" s="164">
        <v>0</v>
      </c>
      <c r="O28" s="164" t="s">
        <v>245</v>
      </c>
      <c r="Q28" s="49"/>
    </row>
    <row r="29" spans="1:17" x14ac:dyDescent="0.35">
      <c r="A29" s="164">
        <v>23480</v>
      </c>
      <c r="B29" s="164">
        <v>9301</v>
      </c>
      <c r="C29" s="164" t="s">
        <v>177</v>
      </c>
      <c r="E29" s="164" t="s">
        <v>36</v>
      </c>
      <c r="F29" s="164">
        <v>55011001802</v>
      </c>
      <c r="G29" s="164" t="s">
        <v>44</v>
      </c>
      <c r="H29" s="49">
        <v>42675</v>
      </c>
      <c r="I29" s="164" t="s">
        <v>80</v>
      </c>
      <c r="J29" s="164">
        <v>1200</v>
      </c>
      <c r="K29" s="164">
        <v>0</v>
      </c>
      <c r="L29" s="164">
        <v>0</v>
      </c>
      <c r="O29" s="164" t="s">
        <v>245</v>
      </c>
      <c r="Q29" s="49"/>
    </row>
    <row r="30" spans="1:17" x14ac:dyDescent="0.35">
      <c r="A30" s="164">
        <v>25563</v>
      </c>
      <c r="B30" s="164">
        <v>9301</v>
      </c>
      <c r="C30" s="164" t="s">
        <v>178</v>
      </c>
      <c r="E30" s="164" t="s">
        <v>36</v>
      </c>
      <c r="F30" s="164">
        <v>76112701516</v>
      </c>
      <c r="G30" s="164" t="s">
        <v>71</v>
      </c>
      <c r="H30" s="49">
        <v>43405</v>
      </c>
      <c r="I30" s="164" t="s">
        <v>80</v>
      </c>
      <c r="J30" s="164">
        <v>950</v>
      </c>
      <c r="K30" s="164">
        <v>1779.17</v>
      </c>
      <c r="L30" s="164">
        <v>1127433.8600000001</v>
      </c>
      <c r="M30" s="164" t="s">
        <v>280</v>
      </c>
      <c r="N30" s="164" t="s">
        <v>281</v>
      </c>
      <c r="O30" s="164" t="s">
        <v>243</v>
      </c>
      <c r="P30" s="164" t="s">
        <v>244</v>
      </c>
      <c r="Q30" s="49"/>
    </row>
    <row r="31" spans="1:17" x14ac:dyDescent="0.35">
      <c r="A31" s="164">
        <v>27635</v>
      </c>
      <c r="B31" s="164">
        <v>9301</v>
      </c>
      <c r="C31" s="164" t="s">
        <v>179</v>
      </c>
      <c r="E31" s="164" t="s">
        <v>36</v>
      </c>
      <c r="F31" s="164">
        <v>58122504887</v>
      </c>
      <c r="G31" s="164" t="s">
        <v>180</v>
      </c>
      <c r="H31" s="49">
        <v>44232</v>
      </c>
      <c r="I31" s="164" t="s">
        <v>46</v>
      </c>
      <c r="J31" s="164">
        <v>660</v>
      </c>
      <c r="K31" s="164">
        <v>0</v>
      </c>
      <c r="L31" s="164">
        <v>0</v>
      </c>
      <c r="O31" s="164" t="s">
        <v>245</v>
      </c>
      <c r="Q31" s="49"/>
    </row>
    <row r="32" spans="1:17" x14ac:dyDescent="0.35">
      <c r="A32" s="164">
        <v>25787</v>
      </c>
      <c r="B32" s="164">
        <v>9301</v>
      </c>
      <c r="C32" s="164" t="s">
        <v>181</v>
      </c>
      <c r="E32" s="164" t="s">
        <v>36</v>
      </c>
      <c r="F32" s="164">
        <v>74093005075</v>
      </c>
      <c r="G32" s="164" t="s">
        <v>182</v>
      </c>
      <c r="H32" s="49">
        <v>43494</v>
      </c>
      <c r="I32" s="164" t="s">
        <v>80</v>
      </c>
      <c r="J32" s="164">
        <v>1200</v>
      </c>
      <c r="K32" s="164">
        <v>2490</v>
      </c>
      <c r="L32" s="164">
        <v>1578720</v>
      </c>
      <c r="M32" s="164" t="s">
        <v>282</v>
      </c>
      <c r="N32" s="164" t="s">
        <v>283</v>
      </c>
      <c r="O32" s="164" t="s">
        <v>243</v>
      </c>
      <c r="P32" s="164" t="s">
        <v>244</v>
      </c>
      <c r="Q32" s="49"/>
    </row>
    <row r="33" spans="1:17" x14ac:dyDescent="0.35">
      <c r="A33" s="164">
        <v>23808</v>
      </c>
      <c r="B33" s="164">
        <v>9301</v>
      </c>
      <c r="C33" s="164" t="s">
        <v>183</v>
      </c>
      <c r="E33" s="164" t="s">
        <v>36</v>
      </c>
      <c r="F33" s="164">
        <v>81120200276</v>
      </c>
      <c r="G33" s="164" t="s">
        <v>184</v>
      </c>
      <c r="H33" s="49">
        <v>42767</v>
      </c>
      <c r="I33" s="164" t="s">
        <v>185</v>
      </c>
      <c r="J33" s="164">
        <v>1200</v>
      </c>
      <c r="K33" s="164">
        <v>2500</v>
      </c>
      <c r="L33" s="164">
        <v>1585000</v>
      </c>
      <c r="M33" s="164" t="s">
        <v>252</v>
      </c>
      <c r="N33" s="164" t="s">
        <v>253</v>
      </c>
      <c r="O33" s="164" t="s">
        <v>243</v>
      </c>
      <c r="P33" s="164" t="s">
        <v>244</v>
      </c>
      <c r="Q33" s="49"/>
    </row>
    <row r="34" spans="1:17" x14ac:dyDescent="0.35">
      <c r="A34" s="164">
        <v>25432</v>
      </c>
      <c r="B34" s="164">
        <v>9301</v>
      </c>
      <c r="C34" s="164" t="s">
        <v>186</v>
      </c>
      <c r="E34" s="164" t="s">
        <v>36</v>
      </c>
      <c r="F34" s="164">
        <v>66011601552</v>
      </c>
      <c r="G34" s="164" t="s">
        <v>187</v>
      </c>
      <c r="H34" s="49">
        <v>43551</v>
      </c>
      <c r="I34" s="164" t="s">
        <v>38</v>
      </c>
      <c r="J34" s="164">
        <v>950</v>
      </c>
      <c r="K34" s="164">
        <v>1058.17</v>
      </c>
      <c r="L34" s="164">
        <v>674645.86</v>
      </c>
      <c r="M34" s="164" t="s">
        <v>284</v>
      </c>
      <c r="N34" s="164" t="s">
        <v>285</v>
      </c>
      <c r="O34" s="164" t="s">
        <v>266</v>
      </c>
      <c r="P34" s="164" t="s">
        <v>267</v>
      </c>
      <c r="Q34" s="49"/>
    </row>
    <row r="35" spans="1:17" x14ac:dyDescent="0.35">
      <c r="A35" s="164">
        <v>24827</v>
      </c>
      <c r="B35" s="164">
        <v>9301</v>
      </c>
      <c r="C35" s="164" t="s">
        <v>188</v>
      </c>
      <c r="E35" s="164" t="s">
        <v>36</v>
      </c>
      <c r="F35" s="164">
        <v>67060800966</v>
      </c>
      <c r="G35" s="164" t="s">
        <v>34</v>
      </c>
      <c r="H35" s="49">
        <v>43132</v>
      </c>
      <c r="I35" s="164" t="s">
        <v>80</v>
      </c>
      <c r="J35" s="164">
        <v>1200</v>
      </c>
      <c r="K35" s="164">
        <v>0</v>
      </c>
      <c r="L35" s="164">
        <v>0</v>
      </c>
      <c r="O35" s="164" t="s">
        <v>245</v>
      </c>
      <c r="Q35" s="49"/>
    </row>
    <row r="36" spans="1:17" x14ac:dyDescent="0.35">
      <c r="A36" s="164">
        <v>26581</v>
      </c>
      <c r="B36" s="164">
        <v>9301</v>
      </c>
      <c r="C36" s="164" t="s">
        <v>189</v>
      </c>
      <c r="E36" s="164" t="s">
        <v>64</v>
      </c>
      <c r="F36" s="164">
        <v>71031819673</v>
      </c>
      <c r="G36" s="164" t="s">
        <v>82</v>
      </c>
      <c r="H36" s="49">
        <v>25569</v>
      </c>
      <c r="I36" s="164" t="s">
        <v>80</v>
      </c>
      <c r="J36" s="164">
        <v>1200</v>
      </c>
      <c r="K36" s="164">
        <v>0</v>
      </c>
      <c r="L36" s="164">
        <v>0</v>
      </c>
      <c r="O36" s="164" t="s">
        <v>245</v>
      </c>
      <c r="Q36" s="49"/>
    </row>
    <row r="37" spans="1:17" x14ac:dyDescent="0.35">
      <c r="A37" s="164">
        <v>26090</v>
      </c>
      <c r="B37" s="164">
        <v>9301</v>
      </c>
      <c r="C37" s="164" t="s">
        <v>230</v>
      </c>
      <c r="E37" s="164" t="s">
        <v>35</v>
      </c>
      <c r="F37" s="164">
        <v>72042200755</v>
      </c>
      <c r="G37" s="164" t="s">
        <v>231</v>
      </c>
      <c r="H37" s="49">
        <v>43524</v>
      </c>
      <c r="I37" s="164" t="s">
        <v>70</v>
      </c>
      <c r="J37" s="164">
        <v>600</v>
      </c>
      <c r="K37" s="164">
        <v>0</v>
      </c>
      <c r="L37" s="164">
        <v>0</v>
      </c>
      <c r="O37" s="164" t="s">
        <v>245</v>
      </c>
      <c r="Q37" s="49"/>
    </row>
    <row r="38" spans="1:17" x14ac:dyDescent="0.35">
      <c r="A38" s="164">
        <v>25924</v>
      </c>
      <c r="B38" s="164">
        <v>9301</v>
      </c>
      <c r="C38" s="164" t="s">
        <v>232</v>
      </c>
      <c r="E38" s="164" t="s">
        <v>64</v>
      </c>
      <c r="F38" s="164">
        <v>86012809858</v>
      </c>
      <c r="G38" s="164" t="s">
        <v>44</v>
      </c>
      <c r="H38" s="49">
        <v>43524</v>
      </c>
      <c r="I38" s="164" t="s">
        <v>80</v>
      </c>
      <c r="J38" s="164">
        <v>1200</v>
      </c>
      <c r="K38" s="164">
        <v>0</v>
      </c>
      <c r="L38" s="164">
        <v>0</v>
      </c>
      <c r="O38" s="164" t="s">
        <v>245</v>
      </c>
      <c r="Q38" s="49"/>
    </row>
    <row r="39" spans="1:17" x14ac:dyDescent="0.35">
      <c r="A39" s="164">
        <v>25646</v>
      </c>
      <c r="B39" s="164">
        <v>9301</v>
      </c>
      <c r="C39" s="164" t="s">
        <v>190</v>
      </c>
      <c r="E39" s="164" t="s">
        <v>36</v>
      </c>
      <c r="F39" s="164">
        <v>68091210850</v>
      </c>
      <c r="G39" s="164" t="s">
        <v>42</v>
      </c>
      <c r="H39" s="49">
        <v>43405</v>
      </c>
      <c r="I39" s="164" t="s">
        <v>38</v>
      </c>
      <c r="J39" s="164">
        <v>950</v>
      </c>
      <c r="K39" s="164">
        <v>1594</v>
      </c>
      <c r="L39" s="164">
        <v>1007032</v>
      </c>
      <c r="M39" s="164" t="s">
        <v>286</v>
      </c>
      <c r="N39" s="164" t="s">
        <v>287</v>
      </c>
      <c r="O39" s="164" t="s">
        <v>243</v>
      </c>
      <c r="P39" s="164" t="s">
        <v>244</v>
      </c>
      <c r="Q39" s="49"/>
    </row>
    <row r="40" spans="1:17" x14ac:dyDescent="0.35">
      <c r="A40" s="164">
        <v>23215</v>
      </c>
      <c r="B40" s="164">
        <v>9301</v>
      </c>
      <c r="C40" s="164" t="s">
        <v>191</v>
      </c>
      <c r="E40" s="164" t="s">
        <v>36</v>
      </c>
      <c r="F40" s="164">
        <v>82122115612</v>
      </c>
      <c r="G40" s="164" t="s">
        <v>41</v>
      </c>
      <c r="H40" s="49">
        <v>42587</v>
      </c>
      <c r="I40" s="164" t="s">
        <v>38</v>
      </c>
      <c r="J40" s="164">
        <v>1200</v>
      </c>
      <c r="K40" s="164">
        <v>2500</v>
      </c>
      <c r="L40" s="164">
        <v>1585000</v>
      </c>
      <c r="M40" s="164" t="s">
        <v>252</v>
      </c>
      <c r="N40" s="164" t="s">
        <v>253</v>
      </c>
      <c r="O40" s="164" t="s">
        <v>243</v>
      </c>
      <c r="P40" s="164" t="s">
        <v>244</v>
      </c>
      <c r="Q40" s="49"/>
    </row>
    <row r="41" spans="1:17" x14ac:dyDescent="0.35">
      <c r="A41" s="164">
        <v>23884</v>
      </c>
      <c r="B41" s="164">
        <v>9301</v>
      </c>
      <c r="C41" s="164" t="s">
        <v>192</v>
      </c>
      <c r="E41" s="164" t="s">
        <v>36</v>
      </c>
      <c r="F41" s="164">
        <v>62081114642</v>
      </c>
      <c r="G41" s="164" t="s">
        <v>39</v>
      </c>
      <c r="H41" s="49">
        <v>42948</v>
      </c>
      <c r="I41" s="164" t="s">
        <v>80</v>
      </c>
      <c r="J41" s="164">
        <v>1200</v>
      </c>
      <c r="K41" s="164">
        <v>2500</v>
      </c>
      <c r="L41" s="164">
        <v>1585000</v>
      </c>
      <c r="M41" s="164" t="s">
        <v>252</v>
      </c>
      <c r="N41" s="164" t="s">
        <v>253</v>
      </c>
      <c r="O41" s="164" t="s">
        <v>243</v>
      </c>
      <c r="P41" s="164" t="s">
        <v>244</v>
      </c>
      <c r="Q41" s="49"/>
    </row>
    <row r="42" spans="1:17" x14ac:dyDescent="0.35">
      <c r="A42" s="164">
        <v>24374</v>
      </c>
      <c r="B42" s="164">
        <v>9301</v>
      </c>
      <c r="C42" s="164" t="s">
        <v>193</v>
      </c>
      <c r="E42" s="164" t="s">
        <v>36</v>
      </c>
      <c r="F42" s="164">
        <v>78110631852</v>
      </c>
      <c r="G42" s="164" t="s">
        <v>194</v>
      </c>
      <c r="H42" s="49">
        <v>42887</v>
      </c>
      <c r="I42" s="164" t="s">
        <v>80</v>
      </c>
      <c r="J42" s="164">
        <v>1200</v>
      </c>
      <c r="K42" s="164">
        <v>2394</v>
      </c>
      <c r="L42" s="164">
        <v>1518432</v>
      </c>
      <c r="M42" s="164" t="s">
        <v>288</v>
      </c>
      <c r="N42" s="164" t="s">
        <v>289</v>
      </c>
      <c r="O42" s="164" t="s">
        <v>243</v>
      </c>
      <c r="P42" s="164" t="s">
        <v>244</v>
      </c>
      <c r="Q42" s="49"/>
    </row>
    <row r="43" spans="1:17" x14ac:dyDescent="0.35">
      <c r="A43" s="164">
        <v>26076</v>
      </c>
      <c r="B43" s="164">
        <v>9301</v>
      </c>
      <c r="C43" s="164" t="s">
        <v>195</v>
      </c>
      <c r="E43" s="164" t="s">
        <v>36</v>
      </c>
      <c r="F43" s="164">
        <v>63110109713</v>
      </c>
      <c r="G43" s="164" t="s">
        <v>196</v>
      </c>
      <c r="H43" s="49">
        <v>43571</v>
      </c>
      <c r="I43" s="164" t="s">
        <v>43</v>
      </c>
      <c r="J43" s="164">
        <v>1200</v>
      </c>
      <c r="K43" s="164">
        <v>0</v>
      </c>
      <c r="L43" s="164">
        <v>0</v>
      </c>
      <c r="O43" s="164" t="s">
        <v>245</v>
      </c>
      <c r="Q43" s="49"/>
    </row>
    <row r="44" spans="1:17" x14ac:dyDescent="0.35">
      <c r="A44" s="164">
        <v>24353</v>
      </c>
      <c r="B44" s="164">
        <v>9301</v>
      </c>
      <c r="C44" s="164" t="s">
        <v>197</v>
      </c>
      <c r="E44" s="164" t="s">
        <v>36</v>
      </c>
      <c r="F44" s="164">
        <v>66012312261</v>
      </c>
      <c r="G44" s="164" t="s">
        <v>182</v>
      </c>
      <c r="H44" s="49">
        <v>42887</v>
      </c>
      <c r="I44" s="164" t="s">
        <v>80</v>
      </c>
      <c r="J44" s="164">
        <v>1200</v>
      </c>
      <c r="K44" s="164">
        <v>2500</v>
      </c>
      <c r="L44" s="164">
        <v>1585000</v>
      </c>
      <c r="M44" s="164" t="s">
        <v>252</v>
      </c>
      <c r="N44" s="164" t="s">
        <v>253</v>
      </c>
      <c r="O44" s="164" t="s">
        <v>243</v>
      </c>
      <c r="P44" s="164" t="s">
        <v>244</v>
      </c>
      <c r="Q44" s="49"/>
    </row>
    <row r="45" spans="1:17" x14ac:dyDescent="0.35">
      <c r="A45" s="164">
        <v>25463</v>
      </c>
      <c r="B45" s="164">
        <v>9301</v>
      </c>
      <c r="C45" s="164" t="s">
        <v>198</v>
      </c>
      <c r="E45" s="164" t="s">
        <v>36</v>
      </c>
      <c r="F45" s="164">
        <v>83101929322</v>
      </c>
      <c r="G45" s="164" t="s">
        <v>34</v>
      </c>
      <c r="H45" s="49">
        <v>43405</v>
      </c>
      <c r="I45" s="164" t="s">
        <v>80</v>
      </c>
      <c r="J45" s="164">
        <v>1200</v>
      </c>
      <c r="K45" s="164">
        <v>2301</v>
      </c>
      <c r="L45" s="164">
        <v>1459398</v>
      </c>
      <c r="M45" s="164" t="s">
        <v>258</v>
      </c>
      <c r="N45" s="164" t="s">
        <v>259</v>
      </c>
      <c r="O45" s="164" t="s">
        <v>243</v>
      </c>
      <c r="P45" s="164" t="s">
        <v>244</v>
      </c>
      <c r="Q45" s="49"/>
    </row>
    <row r="46" spans="1:17" x14ac:dyDescent="0.35">
      <c r="A46" s="164">
        <v>5563</v>
      </c>
      <c r="B46" s="164">
        <v>9301</v>
      </c>
      <c r="C46" s="164" t="s">
        <v>199</v>
      </c>
      <c r="E46" s="164" t="s">
        <v>64</v>
      </c>
      <c r="F46" s="164">
        <v>63081403294</v>
      </c>
      <c r="G46" s="164" t="s">
        <v>82</v>
      </c>
      <c r="H46" s="49">
        <v>25569</v>
      </c>
      <c r="I46" s="164" t="s">
        <v>80</v>
      </c>
      <c r="J46" s="164">
        <v>1200</v>
      </c>
      <c r="K46" s="164">
        <v>0</v>
      </c>
      <c r="L46" s="164">
        <v>0</v>
      </c>
      <c r="O46" s="164" t="s">
        <v>245</v>
      </c>
      <c r="Q46" s="49"/>
    </row>
    <row r="47" spans="1:17" x14ac:dyDescent="0.35">
      <c r="A47" s="164">
        <v>16163</v>
      </c>
      <c r="B47" s="164">
        <v>9301</v>
      </c>
      <c r="C47" s="164" t="s">
        <v>200</v>
      </c>
      <c r="E47" s="164" t="s">
        <v>36</v>
      </c>
      <c r="F47" s="164">
        <v>66052808919</v>
      </c>
      <c r="G47" s="164" t="s">
        <v>201</v>
      </c>
      <c r="H47" s="49">
        <v>43551</v>
      </c>
      <c r="I47" s="164" t="s">
        <v>80</v>
      </c>
      <c r="J47" s="164">
        <v>1200</v>
      </c>
      <c r="K47" s="164">
        <v>1822</v>
      </c>
      <c r="L47" s="164">
        <v>1144216</v>
      </c>
      <c r="M47" s="164" t="s">
        <v>272</v>
      </c>
      <c r="N47" s="164" t="s">
        <v>273</v>
      </c>
      <c r="O47" s="164" t="s">
        <v>262</v>
      </c>
      <c r="P47" s="164" t="s">
        <v>263</v>
      </c>
      <c r="Q47" s="49"/>
    </row>
    <row r="48" spans="1:17" x14ac:dyDescent="0.35">
      <c r="A48" s="164">
        <v>25598</v>
      </c>
      <c r="B48" s="164">
        <v>9301</v>
      </c>
      <c r="C48" s="164" t="s">
        <v>202</v>
      </c>
      <c r="E48" s="164" t="s">
        <v>36</v>
      </c>
      <c r="F48" s="164">
        <v>60082616801</v>
      </c>
      <c r="G48" s="164" t="s">
        <v>203</v>
      </c>
      <c r="H48" s="49">
        <v>43405</v>
      </c>
      <c r="I48" s="164" t="s">
        <v>80</v>
      </c>
      <c r="J48" s="164">
        <v>950</v>
      </c>
      <c r="K48" s="164">
        <v>1673.17</v>
      </c>
      <c r="L48" s="164">
        <v>1060865.8600000001</v>
      </c>
      <c r="M48" s="164" t="s">
        <v>254</v>
      </c>
      <c r="N48" s="164" t="s">
        <v>255</v>
      </c>
      <c r="O48" s="164" t="s">
        <v>243</v>
      </c>
      <c r="P48" s="164" t="s">
        <v>244</v>
      </c>
      <c r="Q48" s="49"/>
    </row>
    <row r="49" spans="1:17" x14ac:dyDescent="0.35">
      <c r="A49" s="164">
        <v>26171</v>
      </c>
      <c r="B49" s="164">
        <v>9301</v>
      </c>
      <c r="C49" s="164" t="s">
        <v>206</v>
      </c>
      <c r="E49" s="164" t="s">
        <v>36</v>
      </c>
      <c r="F49" s="164">
        <v>77121906782</v>
      </c>
      <c r="G49" s="164" t="s">
        <v>40</v>
      </c>
      <c r="H49" s="49">
        <v>43551</v>
      </c>
      <c r="I49" s="164" t="s">
        <v>38</v>
      </c>
      <c r="J49" s="164">
        <v>1200</v>
      </c>
      <c r="K49" s="164">
        <v>2394</v>
      </c>
      <c r="L49" s="164">
        <v>1518432</v>
      </c>
      <c r="M49" s="164" t="s">
        <v>288</v>
      </c>
      <c r="N49" s="164" t="s">
        <v>289</v>
      </c>
      <c r="O49" s="164" t="s">
        <v>243</v>
      </c>
      <c r="P49" s="164" t="s">
        <v>244</v>
      </c>
      <c r="Q49" s="49"/>
    </row>
    <row r="50" spans="1:17" x14ac:dyDescent="0.35">
      <c r="A50" s="164">
        <v>24542</v>
      </c>
      <c r="B50" s="164">
        <v>9301</v>
      </c>
      <c r="C50" s="164" t="s">
        <v>207</v>
      </c>
      <c r="E50" s="164" t="s">
        <v>36</v>
      </c>
      <c r="F50" s="164">
        <v>69072913008</v>
      </c>
      <c r="G50" s="164" t="s">
        <v>208</v>
      </c>
      <c r="H50" s="49">
        <v>42979</v>
      </c>
      <c r="I50" s="164" t="s">
        <v>80</v>
      </c>
      <c r="J50" s="164">
        <v>1200</v>
      </c>
      <c r="K50" s="164">
        <v>2500</v>
      </c>
      <c r="L50" s="164">
        <v>1585000</v>
      </c>
      <c r="M50" s="164" t="s">
        <v>252</v>
      </c>
      <c r="N50" s="164" t="s">
        <v>253</v>
      </c>
      <c r="O50" s="164" t="s">
        <v>243</v>
      </c>
      <c r="P50" s="164" t="s">
        <v>244</v>
      </c>
      <c r="Q50" s="49"/>
    </row>
    <row r="51" spans="1:17" x14ac:dyDescent="0.35">
      <c r="A51" s="164">
        <v>23857</v>
      </c>
      <c r="B51" s="164">
        <v>9301</v>
      </c>
      <c r="C51" s="164" t="s">
        <v>211</v>
      </c>
      <c r="E51" s="164" t="s">
        <v>36</v>
      </c>
      <c r="F51" s="164">
        <v>84091224184</v>
      </c>
      <c r="G51" s="164" t="s">
        <v>68</v>
      </c>
      <c r="H51" s="49">
        <v>42826</v>
      </c>
      <c r="I51" s="164" t="s">
        <v>80</v>
      </c>
      <c r="J51" s="164">
        <v>1200</v>
      </c>
      <c r="K51" s="164">
        <v>0</v>
      </c>
      <c r="L51" s="164">
        <v>0</v>
      </c>
      <c r="O51" s="164" t="s">
        <v>245</v>
      </c>
      <c r="Q51" s="49"/>
    </row>
    <row r="52" spans="1:17" x14ac:dyDescent="0.35">
      <c r="A52" s="164">
        <v>23700</v>
      </c>
      <c r="B52" s="164">
        <v>9300</v>
      </c>
      <c r="C52" s="164" t="s">
        <v>212</v>
      </c>
      <c r="E52" s="164" t="s">
        <v>36</v>
      </c>
      <c r="F52" s="164">
        <v>67070500186</v>
      </c>
      <c r="G52" s="164" t="s">
        <v>213</v>
      </c>
      <c r="H52" s="49">
        <v>43101</v>
      </c>
      <c r="I52" s="164" t="s">
        <v>51</v>
      </c>
      <c r="J52" s="164">
        <v>1200</v>
      </c>
      <c r="K52" s="164">
        <v>1588</v>
      </c>
      <c r="L52" s="164">
        <f>L50+L51</f>
        <v>1585000</v>
      </c>
      <c r="M52" s="164" t="s">
        <v>299</v>
      </c>
      <c r="N52" s="164" t="s">
        <v>300</v>
      </c>
      <c r="O52" s="164" t="s">
        <v>301</v>
      </c>
      <c r="P52" s="164" t="s">
        <v>302</v>
      </c>
      <c r="Q52" s="49"/>
    </row>
    <row r="53" spans="1:17" x14ac:dyDescent="0.35">
      <c r="A53" s="164">
        <v>20485</v>
      </c>
      <c r="B53" s="164">
        <v>9301</v>
      </c>
      <c r="C53" s="164" t="s">
        <v>214</v>
      </c>
      <c r="E53" s="164" t="s">
        <v>36</v>
      </c>
      <c r="F53" s="164">
        <v>70101006056</v>
      </c>
      <c r="G53" s="164" t="s">
        <v>37</v>
      </c>
      <c r="H53" s="49">
        <v>43132</v>
      </c>
      <c r="I53" s="164" t="s">
        <v>80</v>
      </c>
      <c r="J53" s="164">
        <v>650</v>
      </c>
      <c r="K53" s="164">
        <v>1079.17</v>
      </c>
      <c r="L53" s="164">
        <v>683093.86</v>
      </c>
      <c r="M53" s="164" t="s">
        <v>290</v>
      </c>
      <c r="N53" s="164" t="s">
        <v>291</v>
      </c>
      <c r="O53" s="164" t="s">
        <v>243</v>
      </c>
      <c r="P53" s="164" t="s">
        <v>244</v>
      </c>
      <c r="Q53" s="49"/>
    </row>
    <row r="54" spans="1:17" x14ac:dyDescent="0.35">
      <c r="A54" s="164">
        <v>25442</v>
      </c>
      <c r="B54" s="164">
        <v>9301</v>
      </c>
      <c r="C54" s="164" t="s">
        <v>215</v>
      </c>
      <c r="E54" s="164" t="s">
        <v>36</v>
      </c>
      <c r="F54" s="164">
        <v>62123017390</v>
      </c>
      <c r="G54" s="164" t="s">
        <v>42</v>
      </c>
      <c r="H54" s="49">
        <v>43252</v>
      </c>
      <c r="I54" s="164" t="s">
        <v>80</v>
      </c>
      <c r="J54" s="164">
        <v>950</v>
      </c>
      <c r="K54" s="164">
        <v>1743.17</v>
      </c>
      <c r="L54" s="164">
        <v>1105335.8600000001</v>
      </c>
      <c r="M54" s="164" t="s">
        <v>292</v>
      </c>
      <c r="N54" s="164" t="s">
        <v>293</v>
      </c>
      <c r="O54" s="164" t="s">
        <v>243</v>
      </c>
      <c r="P54" s="164" t="s">
        <v>244</v>
      </c>
      <c r="Q54" s="49"/>
    </row>
    <row r="55" spans="1:17" x14ac:dyDescent="0.35">
      <c r="A55" s="164">
        <v>24766</v>
      </c>
      <c r="B55" s="164">
        <v>9301</v>
      </c>
      <c r="C55" s="164" t="s">
        <v>216</v>
      </c>
      <c r="E55" s="164" t="s">
        <v>36</v>
      </c>
      <c r="F55" s="164">
        <v>72041605376</v>
      </c>
      <c r="G55" s="164" t="s">
        <v>66</v>
      </c>
      <c r="H55" s="49">
        <v>43252</v>
      </c>
      <c r="I55" s="164" t="s">
        <v>80</v>
      </c>
      <c r="J55" s="164">
        <v>1200</v>
      </c>
      <c r="K55" s="164">
        <v>2301</v>
      </c>
      <c r="L55" s="164">
        <v>1459398</v>
      </c>
      <c r="M55" s="164" t="s">
        <v>258</v>
      </c>
      <c r="N55" s="164" t="s">
        <v>259</v>
      </c>
      <c r="O55" s="164" t="s">
        <v>243</v>
      </c>
      <c r="P55" s="164" t="s">
        <v>244</v>
      </c>
      <c r="Q55" s="49"/>
    </row>
    <row r="56" spans="1:17" x14ac:dyDescent="0.35">
      <c r="A56" s="164">
        <v>23628</v>
      </c>
      <c r="B56" s="164">
        <v>9301</v>
      </c>
      <c r="C56" s="164" t="s">
        <v>217</v>
      </c>
      <c r="E56" s="164" t="s">
        <v>36</v>
      </c>
      <c r="F56" s="164">
        <v>64042105078</v>
      </c>
      <c r="G56" s="164" t="s">
        <v>82</v>
      </c>
      <c r="H56" s="49">
        <v>42675</v>
      </c>
      <c r="I56" s="164" t="s">
        <v>80</v>
      </c>
      <c r="J56" s="164">
        <v>1200</v>
      </c>
      <c r="K56" s="164">
        <v>2500</v>
      </c>
      <c r="L56" s="164">
        <v>1585000</v>
      </c>
      <c r="M56" s="164" t="s">
        <v>252</v>
      </c>
      <c r="N56" s="164" t="s">
        <v>253</v>
      </c>
      <c r="O56" s="164" t="s">
        <v>243</v>
      </c>
      <c r="P56" s="164" t="s">
        <v>244</v>
      </c>
      <c r="Q56" s="49"/>
    </row>
    <row r="57" spans="1:17" x14ac:dyDescent="0.35">
      <c r="A57" s="164">
        <v>26599</v>
      </c>
      <c r="B57" s="164">
        <v>9301</v>
      </c>
      <c r="C57" s="164" t="s">
        <v>218</v>
      </c>
      <c r="E57" s="164" t="s">
        <v>64</v>
      </c>
      <c r="F57" s="164">
        <v>63082215424</v>
      </c>
      <c r="G57" s="164" t="s">
        <v>82</v>
      </c>
      <c r="H57" s="49">
        <v>25569</v>
      </c>
      <c r="I57" s="164" t="s">
        <v>80</v>
      </c>
      <c r="J57" s="164">
        <v>1200</v>
      </c>
      <c r="K57" s="164">
        <v>0</v>
      </c>
      <c r="L57" s="164">
        <v>0</v>
      </c>
      <c r="O57" s="164" t="s">
        <v>245</v>
      </c>
      <c r="Q57" s="49"/>
    </row>
    <row r="58" spans="1:17" x14ac:dyDescent="0.35">
      <c r="A58" s="164">
        <v>24580</v>
      </c>
      <c r="B58" s="164">
        <v>9301</v>
      </c>
      <c r="C58" s="164" t="s">
        <v>219</v>
      </c>
      <c r="E58" s="164" t="s">
        <v>36</v>
      </c>
      <c r="F58" s="164">
        <v>63060809061</v>
      </c>
      <c r="G58" s="164" t="s">
        <v>208</v>
      </c>
      <c r="H58" s="49">
        <v>42979</v>
      </c>
      <c r="I58" s="164" t="s">
        <v>80</v>
      </c>
      <c r="J58" s="164">
        <v>1200</v>
      </c>
      <c r="K58" s="164">
        <v>2279</v>
      </c>
      <c r="L58" s="164">
        <v>1445582</v>
      </c>
      <c r="M58" s="164" t="s">
        <v>278</v>
      </c>
      <c r="N58" s="164" t="s">
        <v>279</v>
      </c>
      <c r="O58" s="164" t="s">
        <v>243</v>
      </c>
      <c r="P58" s="164" t="s">
        <v>244</v>
      </c>
      <c r="Q58" s="49"/>
    </row>
    <row r="59" spans="1:17" x14ac:dyDescent="0.35">
      <c r="A59" s="164">
        <v>25446</v>
      </c>
      <c r="B59" s="164">
        <v>9301</v>
      </c>
      <c r="C59" s="164" t="s">
        <v>220</v>
      </c>
      <c r="E59" s="164" t="s">
        <v>36</v>
      </c>
      <c r="F59" s="164">
        <v>77112023404</v>
      </c>
      <c r="G59" s="164" t="s">
        <v>49</v>
      </c>
      <c r="H59" s="49">
        <v>43313</v>
      </c>
      <c r="I59" s="164" t="s">
        <v>80</v>
      </c>
      <c r="J59" s="164">
        <v>950</v>
      </c>
      <c r="K59" s="164">
        <v>1748.17</v>
      </c>
      <c r="L59" s="164">
        <v>1108475.8600000001</v>
      </c>
      <c r="M59" s="164" t="s">
        <v>294</v>
      </c>
      <c r="N59" s="164" t="s">
        <v>295</v>
      </c>
      <c r="O59" s="164" t="s">
        <v>243</v>
      </c>
      <c r="P59" s="164" t="s">
        <v>244</v>
      </c>
      <c r="Q59" s="49"/>
    </row>
    <row r="60" spans="1:17" x14ac:dyDescent="0.35">
      <c r="A60" s="164">
        <v>25376</v>
      </c>
      <c r="B60" s="164">
        <v>9301</v>
      </c>
      <c r="C60" s="164" t="s">
        <v>221</v>
      </c>
      <c r="E60" s="164" t="s">
        <v>36</v>
      </c>
      <c r="F60" s="164">
        <v>72052709036</v>
      </c>
      <c r="G60" s="164" t="s">
        <v>50</v>
      </c>
      <c r="H60" s="49">
        <v>43313</v>
      </c>
      <c r="I60" s="164" t="s">
        <v>80</v>
      </c>
      <c r="J60" s="164">
        <v>950</v>
      </c>
      <c r="K60" s="164">
        <v>1748.17</v>
      </c>
      <c r="L60" s="164">
        <v>1108475.8600000001</v>
      </c>
      <c r="M60" s="164" t="s">
        <v>294</v>
      </c>
      <c r="N60" s="164" t="s">
        <v>295</v>
      </c>
      <c r="O60" s="164" t="s">
        <v>243</v>
      </c>
      <c r="P60" s="164" t="s">
        <v>244</v>
      </c>
      <c r="Q60" s="49"/>
    </row>
    <row r="61" spans="1:17" x14ac:dyDescent="0.35">
      <c r="A61" s="164">
        <v>23646</v>
      </c>
      <c r="B61" s="164">
        <v>9301</v>
      </c>
      <c r="C61" s="164" t="s">
        <v>222</v>
      </c>
      <c r="E61" s="164" t="s">
        <v>36</v>
      </c>
      <c r="F61" s="164">
        <v>52050100735</v>
      </c>
      <c r="G61" s="164" t="s">
        <v>42</v>
      </c>
      <c r="H61" s="49">
        <v>43132</v>
      </c>
      <c r="I61" s="164" t="s">
        <v>80</v>
      </c>
      <c r="J61" s="164">
        <v>778</v>
      </c>
      <c r="K61" s="164">
        <v>1242.83</v>
      </c>
      <c r="L61" s="164">
        <v>787662.14</v>
      </c>
      <c r="M61" s="164" t="s">
        <v>296</v>
      </c>
      <c r="N61" s="164" t="s">
        <v>297</v>
      </c>
      <c r="O61" s="164" t="s">
        <v>243</v>
      </c>
      <c r="P61" s="164" t="s">
        <v>244</v>
      </c>
      <c r="Q61" s="49"/>
    </row>
    <row r="62" spans="1:17" x14ac:dyDescent="0.35">
      <c r="A62" s="164">
        <v>24783</v>
      </c>
      <c r="B62" s="164">
        <v>9301</v>
      </c>
      <c r="C62" s="164" t="s">
        <v>223</v>
      </c>
      <c r="E62" s="164" t="s">
        <v>36</v>
      </c>
      <c r="F62" s="164">
        <v>71061926492</v>
      </c>
      <c r="G62" s="164" t="s">
        <v>39</v>
      </c>
      <c r="H62" s="49">
        <v>43070</v>
      </c>
      <c r="I62" s="164" t="s">
        <v>80</v>
      </c>
      <c r="J62" s="164">
        <v>1200</v>
      </c>
      <c r="K62" s="164">
        <v>0</v>
      </c>
      <c r="L62" s="164">
        <v>0</v>
      </c>
      <c r="O62" s="164" t="s">
        <v>245</v>
      </c>
      <c r="Q62" s="49"/>
    </row>
    <row r="63" spans="1:17" x14ac:dyDescent="0.35">
      <c r="H63" s="49"/>
    </row>
  </sheetData>
  <autoFilter ref="A1:Q67" xr:uid="{00000000-0009-0000-0000-000008000000}"/>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4"/>
  <dimension ref="A1:AX4"/>
  <sheetViews>
    <sheetView zoomScaleNormal="100" workbookViewId="0">
      <selection activeCell="I4" sqref="I4"/>
    </sheetView>
  </sheetViews>
  <sheetFormatPr baseColWidth="10" defaultRowHeight="14.5" x14ac:dyDescent="0.35"/>
  <cols>
    <col min="1" max="1" width="13.453125" customWidth="1"/>
    <col min="2" max="2" width="19.81640625" customWidth="1"/>
    <col min="3" max="3" width="20.1796875" customWidth="1"/>
    <col min="4" max="4" width="13.453125" customWidth="1"/>
    <col min="5" max="5" width="19.1796875" customWidth="1"/>
    <col min="6" max="6" width="13.1796875" customWidth="1"/>
    <col min="7" max="7" width="15.81640625" customWidth="1"/>
    <col min="8" max="8" width="15" customWidth="1"/>
    <col min="9" max="48" width="5.7265625" customWidth="1"/>
    <col min="50" max="50" width="20.1796875" bestFit="1" customWidth="1"/>
  </cols>
  <sheetData>
    <row r="1" spans="1:50" ht="15" thickBot="1" x14ac:dyDescent="0.4"/>
    <row r="2" spans="1:50" s="10" customFormat="1" ht="19" thickBot="1" x14ac:dyDescent="0.5">
      <c r="C2" s="5" t="s">
        <v>20</v>
      </c>
      <c r="I2" s="265" t="s">
        <v>9</v>
      </c>
      <c r="J2" s="266"/>
      <c r="K2" s="266"/>
      <c r="L2" s="266"/>
      <c r="M2" s="266"/>
      <c r="N2" s="266"/>
      <c r="O2" s="266"/>
      <c r="P2" s="266"/>
      <c r="Q2" s="266"/>
      <c r="R2" s="266"/>
      <c r="S2" s="266"/>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2"/>
    </row>
    <row r="3" spans="1:50" s="9" customFormat="1" ht="19.5" customHeight="1" thickBot="1" x14ac:dyDescent="0.4">
      <c r="A3" s="13" t="s">
        <v>19</v>
      </c>
      <c r="B3" s="14" t="s">
        <v>8</v>
      </c>
      <c r="C3" s="14" t="s">
        <v>7</v>
      </c>
      <c r="D3" s="14" t="s">
        <v>0</v>
      </c>
      <c r="E3" s="1" t="s">
        <v>16</v>
      </c>
      <c r="F3" s="8" t="s">
        <v>5</v>
      </c>
      <c r="G3" s="2" t="s">
        <v>10</v>
      </c>
      <c r="H3" s="14" t="s">
        <v>6</v>
      </c>
      <c r="I3" s="15">
        <v>1</v>
      </c>
      <c r="J3" s="15">
        <v>2</v>
      </c>
      <c r="K3" s="15">
        <v>3</v>
      </c>
      <c r="L3" s="15">
        <v>4</v>
      </c>
      <c r="M3" s="15">
        <v>5</v>
      </c>
      <c r="N3" s="15">
        <v>6</v>
      </c>
      <c r="O3" s="15">
        <v>7</v>
      </c>
      <c r="P3" s="15">
        <v>8</v>
      </c>
      <c r="Q3" s="15">
        <v>9</v>
      </c>
      <c r="R3" s="15">
        <v>10</v>
      </c>
      <c r="S3" s="15">
        <v>11</v>
      </c>
      <c r="T3" s="15">
        <v>12</v>
      </c>
      <c r="U3" s="15">
        <v>13</v>
      </c>
      <c r="V3" s="15">
        <v>14</v>
      </c>
      <c r="W3" s="15">
        <v>15</v>
      </c>
      <c r="X3" s="15">
        <v>16</v>
      </c>
      <c r="Y3" s="15">
        <v>17</v>
      </c>
      <c r="Z3" s="15">
        <v>18</v>
      </c>
      <c r="AA3" s="15">
        <v>19</v>
      </c>
      <c r="AB3" s="15">
        <v>20</v>
      </c>
      <c r="AC3" s="15">
        <v>21</v>
      </c>
      <c r="AD3" s="15">
        <v>22</v>
      </c>
      <c r="AE3" s="15">
        <v>23</v>
      </c>
      <c r="AF3" s="15">
        <v>24</v>
      </c>
      <c r="AG3" s="15">
        <v>25</v>
      </c>
      <c r="AH3" s="15">
        <v>26</v>
      </c>
      <c r="AI3" s="15">
        <v>27</v>
      </c>
      <c r="AJ3" s="15">
        <v>28</v>
      </c>
      <c r="AK3" s="15">
        <v>29</v>
      </c>
      <c r="AL3" s="15">
        <v>30</v>
      </c>
      <c r="AM3" s="15">
        <v>31</v>
      </c>
      <c r="AN3" s="15">
        <v>32</v>
      </c>
      <c r="AO3" s="15">
        <v>33</v>
      </c>
      <c r="AP3" s="15">
        <v>34</v>
      </c>
      <c r="AQ3" s="15">
        <v>35</v>
      </c>
      <c r="AR3" s="15">
        <v>36</v>
      </c>
      <c r="AS3" s="15">
        <v>37</v>
      </c>
      <c r="AT3" s="15">
        <v>38</v>
      </c>
      <c r="AU3" s="15">
        <v>39</v>
      </c>
      <c r="AV3" s="15">
        <v>40</v>
      </c>
      <c r="AW3" s="3" t="s">
        <v>17</v>
      </c>
      <c r="AX3" s="4" t="s">
        <v>18</v>
      </c>
    </row>
    <row r="4" spans="1:50" x14ac:dyDescent="0.35">
      <c r="F4" t="s">
        <v>22</v>
      </c>
      <c r="G4" t="s">
        <v>22</v>
      </c>
      <c r="AW4">
        <f>SUM(I4:AV4)</f>
        <v>0</v>
      </c>
    </row>
  </sheetData>
  <mergeCells count="1">
    <mergeCell ref="I2:S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1</vt:i4>
      </vt:variant>
    </vt:vector>
  </HeadingPairs>
  <TitlesOfParts>
    <vt:vector size="11" baseType="lpstr">
      <vt:lpstr>REGISTRO_MAESTRO</vt:lpstr>
      <vt:lpstr>REGISTRO_MAESTRO_m3</vt:lpstr>
      <vt:lpstr>DISTRIBUCION_CONTENEDORES</vt:lpstr>
      <vt:lpstr>DATOS_VUELO_RET</vt:lpstr>
      <vt:lpstr>Hoja1</vt:lpstr>
      <vt:lpstr>PROFORMA</vt:lpstr>
      <vt:lpstr>DATOS_EMPRESAS</vt:lpstr>
      <vt:lpstr>CLAUSURAS</vt:lpstr>
      <vt:lpstr>IMPORTE_RESERVA</vt:lpstr>
      <vt:lpstr>DESGLOSE_CARGA</vt:lpstr>
      <vt:lpstr>PROFORMA!Área_de_impresión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 - Esp Finanzas (Lázaro)</dc:creator>
  <cp:lastModifiedBy>Ariadna</cp:lastModifiedBy>
  <cp:lastPrinted>2021-12-03T03:32:13Z</cp:lastPrinted>
  <dcterms:created xsi:type="dcterms:W3CDTF">2021-01-14T16:54:36Z</dcterms:created>
  <dcterms:modified xsi:type="dcterms:W3CDTF">2021-12-03T03:33:46Z</dcterms:modified>
</cp:coreProperties>
</file>